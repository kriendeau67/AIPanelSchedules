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riendeau/Downloads/"/>
    </mc:Choice>
  </mc:AlternateContent>
  <xr:revisionPtr revIDLastSave="0" documentId="13_ncr:1_{3C4B8B17-2FB5-0448-957C-C1E06947EE7C}" xr6:coauthVersionLast="47" xr6:coauthVersionMax="47" xr10:uidLastSave="{00000000-0000-0000-0000-000000000000}"/>
  <bookViews>
    <workbookView xWindow="0" yWindow="620" windowWidth="20480" windowHeight="12180" activeTab="8" xr2:uid="{98586C19-A91A-B648-AB02-75E717C87504}"/>
  </bookViews>
  <sheets>
    <sheet name="Temp1" sheetId="16" r:id="rId1"/>
    <sheet name="Temp1 (2)" sheetId="32" r:id="rId2"/>
    <sheet name="Temp1 (3)" sheetId="33" r:id="rId3"/>
    <sheet name="Temp1 (4)" sheetId="34" r:id="rId4"/>
    <sheet name="Temp1 (5)" sheetId="35" r:id="rId5"/>
    <sheet name="Temp1 (6)" sheetId="36" r:id="rId6"/>
    <sheet name="Temp1 (7)" sheetId="37" r:id="rId7"/>
    <sheet name="Temp1 (8)" sheetId="38" r:id="rId8"/>
    <sheet name="Temp1 (9)" sheetId="39" r:id="rId9"/>
    <sheet name="Temp1 (10)" sheetId="40" r:id="rId10"/>
    <sheet name="Temp1 (11)" sheetId="41" r:id="rId11"/>
    <sheet name="Temp1 (12)" sheetId="42" r:id="rId12"/>
    <sheet name="Temp1 (13)" sheetId="43" r:id="rId13"/>
    <sheet name="Temp1 (14)" sheetId="44" r:id="rId14"/>
    <sheet name="Temp1 (15)" sheetId="45" r:id="rId15"/>
    <sheet name="Temp1 (16)" sheetId="46" r:id="rId16"/>
  </sheets>
  <externalReferences>
    <externalReference r:id="rId17"/>
  </externalReferences>
  <definedNames>
    <definedName name="_xlnm.Print_Area" localSheetId="0">Temp1!$C$1:$J$52</definedName>
    <definedName name="_xlnm.Print_Area" localSheetId="9">'Temp1 (10)'!$C$1:$J$52</definedName>
    <definedName name="_xlnm.Print_Area" localSheetId="10">'Temp1 (11)'!$C$1:$J$52</definedName>
    <definedName name="_xlnm.Print_Area" localSheetId="11">'Temp1 (12)'!$C$1:$J$52</definedName>
    <definedName name="_xlnm.Print_Area" localSheetId="12">'Temp1 (13)'!$C$1:$J$52</definedName>
    <definedName name="_xlnm.Print_Area" localSheetId="13">'Temp1 (14)'!$C$1:$J$52</definedName>
    <definedName name="_xlnm.Print_Area" localSheetId="14">'Temp1 (15)'!$C$1:$J$52</definedName>
    <definedName name="_xlnm.Print_Area" localSheetId="15">'Temp1 (16)'!$C$1:$J$52</definedName>
    <definedName name="_xlnm.Print_Area" localSheetId="1">'Temp1 (2)'!$C$1:$J$52</definedName>
    <definedName name="_xlnm.Print_Area" localSheetId="2">'Temp1 (3)'!$C$1:$J$52</definedName>
    <definedName name="_xlnm.Print_Area" localSheetId="3">'Temp1 (4)'!$C$1:$J$52</definedName>
    <definedName name="_xlnm.Print_Area" localSheetId="4">'Temp1 (5)'!$C$1:$J$52</definedName>
    <definedName name="_xlnm.Print_Area" localSheetId="5">'Temp1 (6)'!$C$1:$J$52</definedName>
    <definedName name="_xlnm.Print_Area" localSheetId="6">'Temp1 (7)'!$C$1:$J$52</definedName>
    <definedName name="_xlnm.Print_Area" localSheetId="7">'Temp1 (8)'!$C$1:$J$52</definedName>
    <definedName name="_xlnm.Print_Area" localSheetId="8">'Temp1 (9)'!$C$1:$J$52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2" i="46" l="1"/>
  <c r="T341" i="46"/>
  <c r="T340" i="46"/>
  <c r="T339" i="46"/>
  <c r="T338" i="46"/>
  <c r="T337" i="46"/>
  <c r="T336" i="46"/>
  <c r="T335" i="46"/>
  <c r="T334" i="46"/>
  <c r="T333" i="46"/>
  <c r="T332" i="46"/>
  <c r="T331" i="46"/>
  <c r="T330" i="46"/>
  <c r="T329" i="46"/>
  <c r="T328" i="46"/>
  <c r="T327" i="46"/>
  <c r="T326" i="46"/>
  <c r="T325" i="46"/>
  <c r="T324" i="46"/>
  <c r="T323" i="46"/>
  <c r="T322" i="46"/>
  <c r="T321" i="46"/>
  <c r="T320" i="46"/>
  <c r="T319" i="46"/>
  <c r="T318" i="46"/>
  <c r="T317" i="46"/>
  <c r="T316" i="46"/>
  <c r="T315" i="46"/>
  <c r="T314" i="46"/>
  <c r="T313" i="46"/>
  <c r="T312" i="46"/>
  <c r="T311" i="46"/>
  <c r="T310" i="46"/>
  <c r="T309" i="46"/>
  <c r="T308" i="46"/>
  <c r="T307" i="46"/>
  <c r="T306" i="46"/>
  <c r="T305" i="46"/>
  <c r="T304" i="46"/>
  <c r="T303" i="46"/>
  <c r="T302" i="46"/>
  <c r="T301" i="46"/>
  <c r="T300" i="46"/>
  <c r="T299" i="46"/>
  <c r="T298" i="46"/>
  <c r="T297" i="46"/>
  <c r="T296" i="46"/>
  <c r="T295" i="46"/>
  <c r="T294" i="46"/>
  <c r="T293" i="46"/>
  <c r="T292" i="46"/>
  <c r="T291" i="46"/>
  <c r="T290" i="46"/>
  <c r="T289" i="46"/>
  <c r="T288" i="46"/>
  <c r="T287" i="46"/>
  <c r="T286" i="46"/>
  <c r="T285" i="46"/>
  <c r="T284" i="46"/>
  <c r="T283" i="46"/>
  <c r="T282" i="46"/>
  <c r="T281" i="46"/>
  <c r="T280" i="46"/>
  <c r="T279" i="46"/>
  <c r="T278" i="46"/>
  <c r="T277" i="46"/>
  <c r="T276" i="46"/>
  <c r="T275" i="46"/>
  <c r="T274" i="46"/>
  <c r="T273" i="46"/>
  <c r="T272" i="46"/>
  <c r="T271" i="46"/>
  <c r="T270" i="46"/>
  <c r="T269" i="46"/>
  <c r="T268" i="46"/>
  <c r="T267" i="46"/>
  <c r="T266" i="46"/>
  <c r="T265" i="46"/>
  <c r="T264" i="46"/>
  <c r="T263" i="46"/>
  <c r="T262" i="46"/>
  <c r="T261" i="46"/>
  <c r="T260" i="46"/>
  <c r="T259" i="46"/>
  <c r="T258" i="46"/>
  <c r="T257" i="46"/>
  <c r="T256" i="46"/>
  <c r="T255" i="46"/>
  <c r="T254" i="46"/>
  <c r="T253" i="46"/>
  <c r="T252" i="46"/>
  <c r="T251" i="46"/>
  <c r="T250" i="46"/>
  <c r="T249" i="46"/>
  <c r="T248" i="46"/>
  <c r="T247" i="46"/>
  <c r="T246" i="46"/>
  <c r="T245" i="46"/>
  <c r="T244" i="46"/>
  <c r="T243" i="46"/>
  <c r="T242" i="46"/>
  <c r="T241" i="46"/>
  <c r="T240" i="46"/>
  <c r="T239" i="46"/>
  <c r="T238" i="46"/>
  <c r="T237" i="46"/>
  <c r="T236" i="46"/>
  <c r="T235" i="46"/>
  <c r="T234" i="46"/>
  <c r="T233" i="46"/>
  <c r="T232" i="46"/>
  <c r="T231" i="46"/>
  <c r="T230" i="46"/>
  <c r="T229" i="46"/>
  <c r="T228" i="46"/>
  <c r="T227" i="46"/>
  <c r="T226" i="46"/>
  <c r="T225" i="46"/>
  <c r="T224" i="46"/>
  <c r="T223" i="46"/>
  <c r="T222" i="46"/>
  <c r="T221" i="46"/>
  <c r="T220" i="46"/>
  <c r="T219" i="46"/>
  <c r="T218" i="46"/>
  <c r="T217" i="46"/>
  <c r="T216" i="46"/>
  <c r="T215" i="46"/>
  <c r="T214" i="46"/>
  <c r="T213" i="46"/>
  <c r="T212" i="46"/>
  <c r="T211" i="46"/>
  <c r="T210" i="46"/>
  <c r="T209" i="46"/>
  <c r="T208" i="46"/>
  <c r="T207" i="46"/>
  <c r="T206" i="46"/>
  <c r="T205" i="46"/>
  <c r="T204" i="46"/>
  <c r="T203" i="46"/>
  <c r="T202" i="46"/>
  <c r="T201" i="46"/>
  <c r="T200" i="46"/>
  <c r="T199" i="46"/>
  <c r="T198" i="46"/>
  <c r="T197" i="46"/>
  <c r="T196" i="46"/>
  <c r="T195" i="46"/>
  <c r="T194" i="46"/>
  <c r="T193" i="46"/>
  <c r="T192" i="46"/>
  <c r="T191" i="46"/>
  <c r="T190" i="46"/>
  <c r="T189" i="46"/>
  <c r="T188" i="46"/>
  <c r="T187" i="46"/>
  <c r="T186" i="46"/>
  <c r="T185" i="46"/>
  <c r="T184" i="46"/>
  <c r="T183" i="46"/>
  <c r="T182" i="46"/>
  <c r="T181" i="46"/>
  <c r="T180" i="46"/>
  <c r="T179" i="46"/>
  <c r="T178" i="46"/>
  <c r="T177" i="46"/>
  <c r="T176" i="46"/>
  <c r="T175" i="46"/>
  <c r="T174" i="46"/>
  <c r="T173" i="46"/>
  <c r="T172" i="46"/>
  <c r="T171" i="46"/>
  <c r="T170" i="46"/>
  <c r="T169" i="46"/>
  <c r="T168" i="46"/>
  <c r="T167" i="46"/>
  <c r="T166" i="46"/>
  <c r="T165" i="46"/>
  <c r="T164" i="46"/>
  <c r="T163" i="46"/>
  <c r="T162" i="46"/>
  <c r="T161" i="46"/>
  <c r="T160" i="46"/>
  <c r="T159" i="46"/>
  <c r="T158" i="46"/>
  <c r="T157" i="46"/>
  <c r="T156" i="46"/>
  <c r="T155" i="46"/>
  <c r="T154" i="46"/>
  <c r="T153" i="46"/>
  <c r="T152" i="46"/>
  <c r="T151" i="46"/>
  <c r="T150" i="46"/>
  <c r="T149" i="46"/>
  <c r="T148" i="46"/>
  <c r="T147" i="46"/>
  <c r="T146" i="46"/>
  <c r="T145" i="46"/>
  <c r="T144" i="46"/>
  <c r="T143" i="46"/>
  <c r="T142" i="46"/>
  <c r="T141" i="46"/>
  <c r="T140" i="46"/>
  <c r="T139" i="46"/>
  <c r="T138" i="46"/>
  <c r="T137" i="46"/>
  <c r="T136" i="46"/>
  <c r="T135" i="46"/>
  <c r="T134" i="46"/>
  <c r="T133" i="46"/>
  <c r="T132" i="46"/>
  <c r="T131" i="46"/>
  <c r="T130" i="46"/>
  <c r="T129" i="46"/>
  <c r="T128" i="46"/>
  <c r="T127" i="46"/>
  <c r="T126" i="46"/>
  <c r="T125" i="46"/>
  <c r="T124" i="46"/>
  <c r="T123" i="46"/>
  <c r="T122" i="46"/>
  <c r="T121" i="46"/>
  <c r="T120" i="46"/>
  <c r="T119" i="46"/>
  <c r="T118" i="46"/>
  <c r="T117" i="46"/>
  <c r="T116" i="46"/>
  <c r="T115" i="46"/>
  <c r="T114" i="46"/>
  <c r="T113" i="46"/>
  <c r="T112" i="46"/>
  <c r="T111" i="46"/>
  <c r="T110" i="46"/>
  <c r="T109" i="46"/>
  <c r="T108" i="46"/>
  <c r="T107" i="46"/>
  <c r="T106" i="46"/>
  <c r="T105" i="46"/>
  <c r="T104" i="46"/>
  <c r="T103" i="46"/>
  <c r="T102" i="46"/>
  <c r="T101" i="46"/>
  <c r="T100" i="46"/>
  <c r="T99" i="46"/>
  <c r="T98" i="46"/>
  <c r="T97" i="46"/>
  <c r="T96" i="46"/>
  <c r="T95" i="46"/>
  <c r="T94" i="46"/>
  <c r="T93" i="46"/>
  <c r="T92" i="46"/>
  <c r="T91" i="46"/>
  <c r="T90" i="46"/>
  <c r="T89" i="46"/>
  <c r="T88" i="46"/>
  <c r="T87" i="46"/>
  <c r="T86" i="46"/>
  <c r="T85" i="46"/>
  <c r="T84" i="46"/>
  <c r="T83" i="46"/>
  <c r="T82" i="46"/>
  <c r="T81" i="46"/>
  <c r="T80" i="46"/>
  <c r="T79" i="46"/>
  <c r="T78" i="46"/>
  <c r="T77" i="46"/>
  <c r="T76" i="46"/>
  <c r="T75" i="46"/>
  <c r="T74" i="46"/>
  <c r="T73" i="46"/>
  <c r="T72" i="46"/>
  <c r="T71" i="46"/>
  <c r="T70" i="46"/>
  <c r="T69" i="46"/>
  <c r="T68" i="46"/>
  <c r="T67" i="46"/>
  <c r="T66" i="46"/>
  <c r="T65" i="46"/>
  <c r="T64" i="46"/>
  <c r="T63" i="46"/>
  <c r="T62" i="46"/>
  <c r="T61" i="46"/>
  <c r="T60" i="46"/>
  <c r="T59" i="46"/>
  <c r="T58" i="46"/>
  <c r="T57" i="46"/>
  <c r="T56" i="46"/>
  <c r="T55" i="46"/>
  <c r="T54" i="46"/>
  <c r="T53" i="46"/>
  <c r="F53" i="46"/>
  <c r="T52" i="46"/>
  <c r="T51" i="46"/>
  <c r="T50" i="46"/>
  <c r="T49" i="46"/>
  <c r="T48" i="46"/>
  <c r="I48" i="46"/>
  <c r="D48" i="46"/>
  <c r="T47" i="46"/>
  <c r="I47" i="46"/>
  <c r="D47" i="46"/>
  <c r="T46" i="46"/>
  <c r="I46" i="46"/>
  <c r="D46" i="46"/>
  <c r="T45" i="46"/>
  <c r="I45" i="46"/>
  <c r="D45" i="46"/>
  <c r="T44" i="46"/>
  <c r="I44" i="46"/>
  <c r="D44" i="46"/>
  <c r="T43" i="46"/>
  <c r="I43" i="46"/>
  <c r="D43" i="46"/>
  <c r="T42" i="46"/>
  <c r="I42" i="46"/>
  <c r="D42" i="46"/>
  <c r="T41" i="46"/>
  <c r="I41" i="46"/>
  <c r="D41" i="46"/>
  <c r="T40" i="46"/>
  <c r="I40" i="46"/>
  <c r="D40" i="46"/>
  <c r="T39" i="46"/>
  <c r="I39" i="46"/>
  <c r="D39" i="46"/>
  <c r="T38" i="46"/>
  <c r="I38" i="46"/>
  <c r="D38" i="46"/>
  <c r="T37" i="46"/>
  <c r="I37" i="46"/>
  <c r="D37" i="46"/>
  <c r="T36" i="46"/>
  <c r="I36" i="46"/>
  <c r="D36" i="46"/>
  <c r="T35" i="46"/>
  <c r="I35" i="46"/>
  <c r="D35" i="46"/>
  <c r="T34" i="46"/>
  <c r="I34" i="46"/>
  <c r="D34" i="46"/>
  <c r="T33" i="46"/>
  <c r="I33" i="46"/>
  <c r="D33" i="46"/>
  <c r="T32" i="46"/>
  <c r="I32" i="46"/>
  <c r="D32" i="46"/>
  <c r="T31" i="46"/>
  <c r="I31" i="46"/>
  <c r="D31" i="46"/>
  <c r="T30" i="46"/>
  <c r="I30" i="46"/>
  <c r="D30" i="46"/>
  <c r="T29" i="46"/>
  <c r="I29" i="46"/>
  <c r="D29" i="46"/>
  <c r="T28" i="46"/>
  <c r="I28" i="46"/>
  <c r="D28" i="46"/>
  <c r="T27" i="46"/>
  <c r="I27" i="46"/>
  <c r="D27" i="46"/>
  <c r="T26" i="46"/>
  <c r="I26" i="46"/>
  <c r="D26" i="46"/>
  <c r="T25" i="46"/>
  <c r="I25" i="46"/>
  <c r="D25" i="46"/>
  <c r="T24" i="46"/>
  <c r="I24" i="46"/>
  <c r="D24" i="46"/>
  <c r="T23" i="46"/>
  <c r="I23" i="46"/>
  <c r="D23" i="46"/>
  <c r="T22" i="46"/>
  <c r="I22" i="46"/>
  <c r="D22" i="46"/>
  <c r="T21" i="46"/>
  <c r="I21" i="46"/>
  <c r="D21" i="46"/>
  <c r="T20" i="46"/>
  <c r="I20" i="46"/>
  <c r="D20" i="46"/>
  <c r="T19" i="46"/>
  <c r="I19" i="46"/>
  <c r="D19" i="46"/>
  <c r="T18" i="46"/>
  <c r="I18" i="46"/>
  <c r="D18" i="46"/>
  <c r="T17" i="46"/>
  <c r="I17" i="46"/>
  <c r="D17" i="46"/>
  <c r="T16" i="46"/>
  <c r="I16" i="46"/>
  <c r="D16" i="46"/>
  <c r="T15" i="46"/>
  <c r="I15" i="46"/>
  <c r="D15" i="46"/>
  <c r="T14" i="46"/>
  <c r="I14" i="46"/>
  <c r="D14" i="46"/>
  <c r="T13" i="46"/>
  <c r="I13" i="46"/>
  <c r="D13" i="46"/>
  <c r="T12" i="46"/>
  <c r="I12" i="46"/>
  <c r="D12" i="46"/>
  <c r="T11" i="46"/>
  <c r="I11" i="46"/>
  <c r="D11" i="46"/>
  <c r="T10" i="46"/>
  <c r="I10" i="46"/>
  <c r="D10" i="46"/>
  <c r="T9" i="46"/>
  <c r="I9" i="46"/>
  <c r="D9" i="46"/>
  <c r="T8" i="46"/>
  <c r="I8" i="46"/>
  <c r="D8" i="46"/>
  <c r="Q7" i="46"/>
  <c r="I7" i="46"/>
  <c r="D7" i="46"/>
  <c r="H5" i="46"/>
  <c r="F5" i="46"/>
  <c r="H4" i="46"/>
  <c r="F4" i="46"/>
  <c r="H3" i="46"/>
  <c r="F3" i="46"/>
  <c r="H2" i="46"/>
  <c r="C2" i="46"/>
  <c r="T342" i="45"/>
  <c r="T341" i="45"/>
  <c r="T340" i="45"/>
  <c r="T339" i="45"/>
  <c r="T338" i="45"/>
  <c r="T337" i="45"/>
  <c r="T336" i="45"/>
  <c r="T335" i="45"/>
  <c r="T334" i="45"/>
  <c r="T333" i="45"/>
  <c r="T332" i="45"/>
  <c r="T331" i="45"/>
  <c r="T330" i="45"/>
  <c r="T329" i="45"/>
  <c r="T328" i="45"/>
  <c r="T327" i="45"/>
  <c r="T326" i="45"/>
  <c r="T325" i="45"/>
  <c r="T324" i="45"/>
  <c r="T323" i="45"/>
  <c r="T322" i="45"/>
  <c r="T321" i="45"/>
  <c r="T320" i="45"/>
  <c r="T319" i="45"/>
  <c r="T318" i="45"/>
  <c r="T317" i="45"/>
  <c r="T316" i="45"/>
  <c r="T315" i="45"/>
  <c r="T314" i="45"/>
  <c r="T313" i="45"/>
  <c r="T312" i="45"/>
  <c r="T311" i="45"/>
  <c r="T310" i="45"/>
  <c r="T309" i="45"/>
  <c r="T308" i="45"/>
  <c r="T307" i="45"/>
  <c r="T306" i="45"/>
  <c r="T305" i="45"/>
  <c r="T304" i="45"/>
  <c r="T303" i="45"/>
  <c r="T302" i="45"/>
  <c r="T301" i="45"/>
  <c r="T300" i="45"/>
  <c r="T299" i="45"/>
  <c r="T298" i="45"/>
  <c r="T297" i="45"/>
  <c r="T296" i="45"/>
  <c r="T295" i="45"/>
  <c r="T294" i="45"/>
  <c r="T293" i="45"/>
  <c r="T292" i="45"/>
  <c r="T291" i="45"/>
  <c r="T290" i="45"/>
  <c r="T289" i="45"/>
  <c r="T288" i="45"/>
  <c r="T287" i="45"/>
  <c r="T286" i="45"/>
  <c r="T285" i="45"/>
  <c r="T284" i="45"/>
  <c r="T283" i="45"/>
  <c r="T282" i="45"/>
  <c r="T281" i="45"/>
  <c r="T280" i="45"/>
  <c r="T279" i="45"/>
  <c r="T278" i="45"/>
  <c r="T277" i="45"/>
  <c r="T276" i="45"/>
  <c r="T275" i="45"/>
  <c r="T274" i="45"/>
  <c r="T273" i="45"/>
  <c r="T272" i="45"/>
  <c r="T271" i="45"/>
  <c r="T270" i="45"/>
  <c r="T269" i="45"/>
  <c r="T268" i="45"/>
  <c r="T267" i="45"/>
  <c r="T266" i="45"/>
  <c r="T265" i="45"/>
  <c r="T264" i="45"/>
  <c r="T263" i="45"/>
  <c r="T262" i="45"/>
  <c r="T261" i="45"/>
  <c r="T260" i="45"/>
  <c r="T259" i="45"/>
  <c r="T258" i="45"/>
  <c r="T257" i="45"/>
  <c r="T256" i="45"/>
  <c r="T255" i="45"/>
  <c r="T254" i="45"/>
  <c r="T253" i="45"/>
  <c r="T252" i="45"/>
  <c r="T251" i="45"/>
  <c r="T250" i="45"/>
  <c r="T249" i="45"/>
  <c r="T248" i="45"/>
  <c r="T247" i="45"/>
  <c r="T246" i="45"/>
  <c r="T245" i="45"/>
  <c r="T244" i="45"/>
  <c r="T243" i="45"/>
  <c r="T242" i="45"/>
  <c r="T241" i="45"/>
  <c r="T240" i="45"/>
  <c r="T239" i="45"/>
  <c r="T238" i="45"/>
  <c r="T237" i="45"/>
  <c r="T236" i="45"/>
  <c r="T235" i="45"/>
  <c r="T234" i="45"/>
  <c r="T233" i="45"/>
  <c r="T232" i="45"/>
  <c r="T231" i="45"/>
  <c r="T230" i="45"/>
  <c r="T229" i="45"/>
  <c r="T228" i="45"/>
  <c r="T227" i="45"/>
  <c r="T226" i="45"/>
  <c r="T225" i="45"/>
  <c r="T224" i="45"/>
  <c r="T223" i="45"/>
  <c r="T222" i="45"/>
  <c r="T221" i="45"/>
  <c r="T220" i="45"/>
  <c r="T219" i="45"/>
  <c r="T218" i="45"/>
  <c r="T217" i="45"/>
  <c r="T216" i="45"/>
  <c r="T215" i="45"/>
  <c r="T214" i="45"/>
  <c r="T213" i="45"/>
  <c r="T212" i="45"/>
  <c r="T211" i="45"/>
  <c r="T210" i="45"/>
  <c r="T209" i="45"/>
  <c r="T208" i="45"/>
  <c r="T207" i="45"/>
  <c r="T206" i="45"/>
  <c r="T205" i="45"/>
  <c r="T204" i="45"/>
  <c r="T203" i="45"/>
  <c r="T202" i="45"/>
  <c r="T201" i="45"/>
  <c r="T200" i="45"/>
  <c r="T199" i="45"/>
  <c r="T198" i="45"/>
  <c r="T197" i="45"/>
  <c r="T196" i="45"/>
  <c r="T195" i="45"/>
  <c r="T194" i="45"/>
  <c r="T193" i="45"/>
  <c r="T192" i="45"/>
  <c r="T191" i="45"/>
  <c r="T190" i="45"/>
  <c r="T189" i="45"/>
  <c r="T188" i="45"/>
  <c r="T187" i="45"/>
  <c r="T186" i="45"/>
  <c r="T185" i="45"/>
  <c r="T184" i="45"/>
  <c r="T183" i="45"/>
  <c r="T182" i="45"/>
  <c r="T181" i="45"/>
  <c r="T180" i="45"/>
  <c r="T179" i="45"/>
  <c r="T178" i="45"/>
  <c r="T177" i="45"/>
  <c r="T176" i="45"/>
  <c r="T175" i="45"/>
  <c r="T174" i="45"/>
  <c r="T173" i="45"/>
  <c r="T172" i="45"/>
  <c r="T171" i="45"/>
  <c r="T170" i="45"/>
  <c r="T169" i="45"/>
  <c r="T168" i="45"/>
  <c r="T167" i="45"/>
  <c r="T166" i="45"/>
  <c r="T165" i="45"/>
  <c r="T164" i="45"/>
  <c r="T163" i="45"/>
  <c r="T162" i="45"/>
  <c r="T161" i="45"/>
  <c r="T160" i="45"/>
  <c r="T159" i="45"/>
  <c r="T158" i="45"/>
  <c r="T157" i="45"/>
  <c r="T156" i="45"/>
  <c r="T155" i="45"/>
  <c r="T154" i="45"/>
  <c r="T153" i="45"/>
  <c r="T152" i="45"/>
  <c r="T151" i="45"/>
  <c r="T150" i="45"/>
  <c r="T149" i="45"/>
  <c r="T148" i="45"/>
  <c r="T147" i="45"/>
  <c r="T146" i="45"/>
  <c r="T145" i="45"/>
  <c r="T144" i="45"/>
  <c r="T143" i="45"/>
  <c r="T142" i="45"/>
  <c r="T141" i="45"/>
  <c r="T140" i="45"/>
  <c r="T139" i="45"/>
  <c r="T138" i="45"/>
  <c r="T137" i="45"/>
  <c r="T136" i="45"/>
  <c r="T135" i="45"/>
  <c r="T134" i="45"/>
  <c r="T133" i="45"/>
  <c r="T132" i="45"/>
  <c r="T131" i="45"/>
  <c r="T130" i="45"/>
  <c r="T129" i="45"/>
  <c r="T128" i="45"/>
  <c r="T127" i="45"/>
  <c r="T126" i="45"/>
  <c r="T125" i="45"/>
  <c r="T124" i="45"/>
  <c r="T123" i="45"/>
  <c r="T122" i="45"/>
  <c r="T121" i="45"/>
  <c r="T120" i="45"/>
  <c r="T119" i="45"/>
  <c r="T118" i="45"/>
  <c r="T117" i="45"/>
  <c r="T116" i="45"/>
  <c r="T115" i="45"/>
  <c r="T114" i="45"/>
  <c r="T113" i="45"/>
  <c r="T112" i="45"/>
  <c r="T111" i="45"/>
  <c r="T110" i="45"/>
  <c r="T109" i="45"/>
  <c r="T108" i="45"/>
  <c r="T107" i="45"/>
  <c r="T106" i="45"/>
  <c r="T105" i="45"/>
  <c r="T104" i="45"/>
  <c r="T103" i="45"/>
  <c r="T102" i="45"/>
  <c r="T101" i="45"/>
  <c r="T100" i="45"/>
  <c r="T99" i="45"/>
  <c r="T98" i="45"/>
  <c r="T97" i="45"/>
  <c r="T96" i="45"/>
  <c r="T95" i="45"/>
  <c r="T94" i="45"/>
  <c r="T93" i="45"/>
  <c r="T92" i="45"/>
  <c r="T91" i="45"/>
  <c r="T90" i="45"/>
  <c r="T89" i="45"/>
  <c r="T88" i="45"/>
  <c r="T87" i="45"/>
  <c r="T86" i="45"/>
  <c r="T85" i="45"/>
  <c r="T84" i="45"/>
  <c r="T83" i="45"/>
  <c r="T82" i="45"/>
  <c r="T81" i="45"/>
  <c r="T80" i="45"/>
  <c r="T79" i="45"/>
  <c r="T78" i="45"/>
  <c r="T77" i="45"/>
  <c r="T76" i="45"/>
  <c r="T75" i="45"/>
  <c r="T74" i="45"/>
  <c r="T73" i="45"/>
  <c r="T72" i="45"/>
  <c r="T71" i="45"/>
  <c r="T70" i="45"/>
  <c r="T69" i="45"/>
  <c r="T68" i="45"/>
  <c r="T67" i="45"/>
  <c r="T66" i="45"/>
  <c r="T65" i="45"/>
  <c r="T64" i="45"/>
  <c r="T63" i="45"/>
  <c r="T62" i="45"/>
  <c r="T61" i="45"/>
  <c r="T60" i="45"/>
  <c r="T59" i="45"/>
  <c r="T58" i="45"/>
  <c r="T57" i="45"/>
  <c r="T56" i="45"/>
  <c r="T55" i="45"/>
  <c r="T54" i="45"/>
  <c r="T53" i="45"/>
  <c r="F53" i="45"/>
  <c r="T52" i="45"/>
  <c r="T51" i="45"/>
  <c r="T50" i="45"/>
  <c r="T49" i="45"/>
  <c r="T48" i="45"/>
  <c r="I48" i="45"/>
  <c r="D48" i="45"/>
  <c r="T47" i="45"/>
  <c r="I47" i="45"/>
  <c r="D47" i="45"/>
  <c r="T46" i="45"/>
  <c r="I46" i="45"/>
  <c r="D46" i="45"/>
  <c r="T45" i="45"/>
  <c r="I45" i="45"/>
  <c r="D45" i="45"/>
  <c r="T44" i="45"/>
  <c r="I44" i="45"/>
  <c r="D44" i="45"/>
  <c r="T43" i="45"/>
  <c r="I43" i="45"/>
  <c r="D43" i="45"/>
  <c r="T42" i="45"/>
  <c r="I42" i="45"/>
  <c r="D42" i="45"/>
  <c r="T41" i="45"/>
  <c r="I41" i="45"/>
  <c r="D41" i="45"/>
  <c r="T40" i="45"/>
  <c r="I40" i="45"/>
  <c r="D40" i="45"/>
  <c r="T39" i="45"/>
  <c r="I39" i="45"/>
  <c r="D39" i="45"/>
  <c r="T38" i="45"/>
  <c r="I38" i="45"/>
  <c r="D38" i="45"/>
  <c r="T37" i="45"/>
  <c r="I37" i="45"/>
  <c r="D37" i="45"/>
  <c r="T36" i="45"/>
  <c r="I36" i="45"/>
  <c r="D36" i="45"/>
  <c r="T35" i="45"/>
  <c r="I35" i="45"/>
  <c r="D35" i="45"/>
  <c r="T34" i="45"/>
  <c r="I34" i="45"/>
  <c r="D34" i="45"/>
  <c r="T33" i="45"/>
  <c r="I33" i="45"/>
  <c r="D33" i="45"/>
  <c r="T32" i="45"/>
  <c r="I32" i="45"/>
  <c r="D32" i="45"/>
  <c r="T31" i="45"/>
  <c r="I31" i="45"/>
  <c r="D31" i="45"/>
  <c r="T30" i="45"/>
  <c r="I30" i="45"/>
  <c r="D30" i="45"/>
  <c r="T29" i="45"/>
  <c r="I29" i="45"/>
  <c r="D29" i="45"/>
  <c r="T28" i="45"/>
  <c r="I28" i="45"/>
  <c r="D28" i="45"/>
  <c r="T27" i="45"/>
  <c r="I27" i="45"/>
  <c r="D27" i="45"/>
  <c r="T26" i="45"/>
  <c r="I26" i="45"/>
  <c r="D26" i="45"/>
  <c r="T25" i="45"/>
  <c r="I25" i="45"/>
  <c r="D25" i="45"/>
  <c r="T24" i="45"/>
  <c r="I24" i="45"/>
  <c r="D24" i="45"/>
  <c r="T23" i="45"/>
  <c r="I23" i="45"/>
  <c r="D23" i="45"/>
  <c r="T22" i="45"/>
  <c r="I22" i="45"/>
  <c r="D22" i="45"/>
  <c r="T21" i="45"/>
  <c r="I21" i="45"/>
  <c r="D21" i="45"/>
  <c r="T20" i="45"/>
  <c r="I20" i="45"/>
  <c r="D20" i="45"/>
  <c r="T19" i="45"/>
  <c r="I19" i="45"/>
  <c r="D19" i="45"/>
  <c r="T18" i="45"/>
  <c r="I18" i="45"/>
  <c r="D18" i="45"/>
  <c r="T17" i="45"/>
  <c r="I17" i="45"/>
  <c r="D17" i="45"/>
  <c r="T16" i="45"/>
  <c r="I16" i="45"/>
  <c r="D16" i="45"/>
  <c r="T15" i="45"/>
  <c r="I15" i="45"/>
  <c r="D15" i="45"/>
  <c r="T14" i="45"/>
  <c r="I14" i="45"/>
  <c r="D14" i="45"/>
  <c r="T13" i="45"/>
  <c r="I13" i="45"/>
  <c r="D13" i="45"/>
  <c r="T12" i="45"/>
  <c r="I12" i="45"/>
  <c r="D12" i="45"/>
  <c r="T11" i="45"/>
  <c r="I11" i="45"/>
  <c r="D11" i="45"/>
  <c r="T10" i="45"/>
  <c r="I10" i="45"/>
  <c r="D10" i="45"/>
  <c r="T9" i="45"/>
  <c r="I9" i="45"/>
  <c r="D9" i="45"/>
  <c r="T8" i="45"/>
  <c r="I8" i="45"/>
  <c r="D8" i="45"/>
  <c r="Q7" i="45"/>
  <c r="I7" i="45"/>
  <c r="D7" i="45"/>
  <c r="H5" i="45"/>
  <c r="F5" i="45"/>
  <c r="H4" i="45"/>
  <c r="F4" i="45"/>
  <c r="H3" i="45"/>
  <c r="F3" i="45"/>
  <c r="H2" i="45"/>
  <c r="C2" i="45"/>
  <c r="T342" i="44"/>
  <c r="T341" i="44"/>
  <c r="T340" i="44"/>
  <c r="T339" i="44"/>
  <c r="T338" i="44"/>
  <c r="T337" i="44"/>
  <c r="T336" i="44"/>
  <c r="T335" i="44"/>
  <c r="T334" i="44"/>
  <c r="T333" i="44"/>
  <c r="T332" i="44"/>
  <c r="T331" i="44"/>
  <c r="T330" i="44"/>
  <c r="T329" i="44"/>
  <c r="T328" i="44"/>
  <c r="T327" i="44"/>
  <c r="T326" i="44"/>
  <c r="T325" i="44"/>
  <c r="T324" i="44"/>
  <c r="T323" i="44"/>
  <c r="T322" i="44"/>
  <c r="T321" i="44"/>
  <c r="T320" i="44"/>
  <c r="T319" i="44"/>
  <c r="T318" i="44"/>
  <c r="T317" i="44"/>
  <c r="T316" i="44"/>
  <c r="T315" i="44"/>
  <c r="T314" i="44"/>
  <c r="T313" i="44"/>
  <c r="T312" i="44"/>
  <c r="T311" i="44"/>
  <c r="T310" i="44"/>
  <c r="T309" i="44"/>
  <c r="T308" i="44"/>
  <c r="T307" i="44"/>
  <c r="T306" i="44"/>
  <c r="T305" i="44"/>
  <c r="T304" i="44"/>
  <c r="T303" i="44"/>
  <c r="T302" i="44"/>
  <c r="T301" i="44"/>
  <c r="T300" i="44"/>
  <c r="T299" i="44"/>
  <c r="T298" i="44"/>
  <c r="T297" i="44"/>
  <c r="T296" i="44"/>
  <c r="T295" i="44"/>
  <c r="T294" i="44"/>
  <c r="T293" i="44"/>
  <c r="T292" i="44"/>
  <c r="T291" i="44"/>
  <c r="T290" i="44"/>
  <c r="T289" i="44"/>
  <c r="T288" i="44"/>
  <c r="T287" i="44"/>
  <c r="T286" i="44"/>
  <c r="T285" i="44"/>
  <c r="T284" i="44"/>
  <c r="T283" i="44"/>
  <c r="T282" i="44"/>
  <c r="T281" i="44"/>
  <c r="T280" i="44"/>
  <c r="T279" i="44"/>
  <c r="T278" i="44"/>
  <c r="T277" i="44"/>
  <c r="T276" i="44"/>
  <c r="T275" i="44"/>
  <c r="T274" i="44"/>
  <c r="T273" i="44"/>
  <c r="T272" i="44"/>
  <c r="T271" i="44"/>
  <c r="T270" i="44"/>
  <c r="T269" i="44"/>
  <c r="T268" i="44"/>
  <c r="T267" i="44"/>
  <c r="T266" i="44"/>
  <c r="T265" i="44"/>
  <c r="T264" i="44"/>
  <c r="T263" i="44"/>
  <c r="T262" i="44"/>
  <c r="T261" i="44"/>
  <c r="T260" i="44"/>
  <c r="T259" i="44"/>
  <c r="T258" i="44"/>
  <c r="T257" i="44"/>
  <c r="T256" i="44"/>
  <c r="T255" i="44"/>
  <c r="T254" i="44"/>
  <c r="T253" i="44"/>
  <c r="T252" i="44"/>
  <c r="T251" i="44"/>
  <c r="T250" i="44"/>
  <c r="T249" i="44"/>
  <c r="T248" i="44"/>
  <c r="T247" i="44"/>
  <c r="T246" i="44"/>
  <c r="T245" i="44"/>
  <c r="T244" i="44"/>
  <c r="T243" i="44"/>
  <c r="T242" i="44"/>
  <c r="T241" i="44"/>
  <c r="T240" i="44"/>
  <c r="T239" i="44"/>
  <c r="T238" i="44"/>
  <c r="T237" i="44"/>
  <c r="T236" i="44"/>
  <c r="T235" i="44"/>
  <c r="T234" i="44"/>
  <c r="T233" i="44"/>
  <c r="T232" i="44"/>
  <c r="T231" i="44"/>
  <c r="T230" i="44"/>
  <c r="T229" i="44"/>
  <c r="T228" i="44"/>
  <c r="T227" i="44"/>
  <c r="T226" i="44"/>
  <c r="T225" i="44"/>
  <c r="T224" i="44"/>
  <c r="T223" i="44"/>
  <c r="T222" i="44"/>
  <c r="T221" i="44"/>
  <c r="T220" i="44"/>
  <c r="T219" i="44"/>
  <c r="T218" i="44"/>
  <c r="T217" i="44"/>
  <c r="T216" i="44"/>
  <c r="T215" i="44"/>
  <c r="T214" i="44"/>
  <c r="T213" i="44"/>
  <c r="T212" i="44"/>
  <c r="T211" i="44"/>
  <c r="T210" i="44"/>
  <c r="T209" i="44"/>
  <c r="T208" i="44"/>
  <c r="T207" i="44"/>
  <c r="T206" i="44"/>
  <c r="T205" i="44"/>
  <c r="T204" i="44"/>
  <c r="T203" i="44"/>
  <c r="T202" i="44"/>
  <c r="T201" i="44"/>
  <c r="T200" i="44"/>
  <c r="T199" i="44"/>
  <c r="T198" i="44"/>
  <c r="T197" i="44"/>
  <c r="T196" i="44"/>
  <c r="T195" i="44"/>
  <c r="T194" i="44"/>
  <c r="T193" i="44"/>
  <c r="T192" i="44"/>
  <c r="T191" i="44"/>
  <c r="T190" i="44"/>
  <c r="T189" i="44"/>
  <c r="T188" i="44"/>
  <c r="T187" i="44"/>
  <c r="T186" i="44"/>
  <c r="T185" i="44"/>
  <c r="T184" i="44"/>
  <c r="T183" i="44"/>
  <c r="T182" i="44"/>
  <c r="T181" i="44"/>
  <c r="T180" i="44"/>
  <c r="T179" i="44"/>
  <c r="T178" i="44"/>
  <c r="T177" i="44"/>
  <c r="T176" i="44"/>
  <c r="T175" i="44"/>
  <c r="T174" i="44"/>
  <c r="T173" i="44"/>
  <c r="T172" i="44"/>
  <c r="T171" i="44"/>
  <c r="T170" i="44"/>
  <c r="T169" i="44"/>
  <c r="T168" i="44"/>
  <c r="T167" i="44"/>
  <c r="T166" i="44"/>
  <c r="T165" i="44"/>
  <c r="T164" i="44"/>
  <c r="T163" i="44"/>
  <c r="T162" i="44"/>
  <c r="T161" i="44"/>
  <c r="T160" i="44"/>
  <c r="T159" i="44"/>
  <c r="T158" i="44"/>
  <c r="T157" i="44"/>
  <c r="T156" i="44"/>
  <c r="T155" i="44"/>
  <c r="T154" i="44"/>
  <c r="T153" i="44"/>
  <c r="T152" i="44"/>
  <c r="T151" i="44"/>
  <c r="T150" i="44"/>
  <c r="T149" i="44"/>
  <c r="T148" i="44"/>
  <c r="T147" i="44"/>
  <c r="T146" i="44"/>
  <c r="T145" i="44"/>
  <c r="T144" i="44"/>
  <c r="T143" i="44"/>
  <c r="T142" i="44"/>
  <c r="T141" i="44"/>
  <c r="T140" i="44"/>
  <c r="T139" i="44"/>
  <c r="T138" i="44"/>
  <c r="T137" i="44"/>
  <c r="T136" i="44"/>
  <c r="T135" i="44"/>
  <c r="T134" i="44"/>
  <c r="T133" i="44"/>
  <c r="T132" i="44"/>
  <c r="T131" i="44"/>
  <c r="T130" i="44"/>
  <c r="T129" i="44"/>
  <c r="T128" i="44"/>
  <c r="T127" i="44"/>
  <c r="T126" i="44"/>
  <c r="T125" i="44"/>
  <c r="T124" i="44"/>
  <c r="T123" i="44"/>
  <c r="T122" i="44"/>
  <c r="T121" i="44"/>
  <c r="T120" i="44"/>
  <c r="T119" i="44"/>
  <c r="T118" i="44"/>
  <c r="T117" i="44"/>
  <c r="T116" i="44"/>
  <c r="T115" i="44"/>
  <c r="T114" i="44"/>
  <c r="T113" i="44"/>
  <c r="T112" i="44"/>
  <c r="T111" i="44"/>
  <c r="T110" i="44"/>
  <c r="T109" i="44"/>
  <c r="T108" i="44"/>
  <c r="T107" i="44"/>
  <c r="T106" i="44"/>
  <c r="T105" i="44"/>
  <c r="T104" i="44"/>
  <c r="T103" i="44"/>
  <c r="T102" i="44"/>
  <c r="T101" i="44"/>
  <c r="T100" i="44"/>
  <c r="T99" i="44"/>
  <c r="T98" i="44"/>
  <c r="T97" i="44"/>
  <c r="T96" i="44"/>
  <c r="T95" i="44"/>
  <c r="T94" i="44"/>
  <c r="T93" i="44"/>
  <c r="T92" i="44"/>
  <c r="T91" i="44"/>
  <c r="T90" i="44"/>
  <c r="T89" i="44"/>
  <c r="T88" i="44"/>
  <c r="T87" i="44"/>
  <c r="T86" i="44"/>
  <c r="T85" i="44"/>
  <c r="T84" i="44"/>
  <c r="T83" i="44"/>
  <c r="T82" i="44"/>
  <c r="T81" i="44"/>
  <c r="T80" i="44"/>
  <c r="T79" i="44"/>
  <c r="T78" i="44"/>
  <c r="T77" i="44"/>
  <c r="T76" i="44"/>
  <c r="T75" i="44"/>
  <c r="T74" i="44"/>
  <c r="T73" i="44"/>
  <c r="T72" i="44"/>
  <c r="T71" i="44"/>
  <c r="T70" i="44"/>
  <c r="T69" i="44"/>
  <c r="T68" i="44"/>
  <c r="T67" i="44"/>
  <c r="T66" i="44"/>
  <c r="T65" i="44"/>
  <c r="T64" i="44"/>
  <c r="T63" i="44"/>
  <c r="T62" i="44"/>
  <c r="T61" i="44"/>
  <c r="T60" i="44"/>
  <c r="T59" i="44"/>
  <c r="T58" i="44"/>
  <c r="T57" i="44"/>
  <c r="T56" i="44"/>
  <c r="T55" i="44"/>
  <c r="T54" i="44"/>
  <c r="T53" i="44"/>
  <c r="F53" i="44"/>
  <c r="T52" i="44"/>
  <c r="T51" i="44"/>
  <c r="T50" i="44"/>
  <c r="T49" i="44"/>
  <c r="T48" i="44"/>
  <c r="I48" i="44"/>
  <c r="D48" i="44"/>
  <c r="T47" i="44"/>
  <c r="I47" i="44"/>
  <c r="D47" i="44"/>
  <c r="T46" i="44"/>
  <c r="I46" i="44"/>
  <c r="D46" i="44"/>
  <c r="T45" i="44"/>
  <c r="I45" i="44"/>
  <c r="D45" i="44"/>
  <c r="T44" i="44"/>
  <c r="I44" i="44"/>
  <c r="D44" i="44"/>
  <c r="T43" i="44"/>
  <c r="I43" i="44"/>
  <c r="D43" i="44"/>
  <c r="T42" i="44"/>
  <c r="I42" i="44"/>
  <c r="D42" i="44"/>
  <c r="T41" i="44"/>
  <c r="I41" i="44"/>
  <c r="D41" i="44"/>
  <c r="T40" i="44"/>
  <c r="I40" i="44"/>
  <c r="D40" i="44"/>
  <c r="T39" i="44"/>
  <c r="I39" i="44"/>
  <c r="D39" i="44"/>
  <c r="T38" i="44"/>
  <c r="I38" i="44"/>
  <c r="D38" i="44"/>
  <c r="T37" i="44"/>
  <c r="I37" i="44"/>
  <c r="D37" i="44"/>
  <c r="T36" i="44"/>
  <c r="I36" i="44"/>
  <c r="D36" i="44"/>
  <c r="T35" i="44"/>
  <c r="I35" i="44"/>
  <c r="D35" i="44"/>
  <c r="T34" i="44"/>
  <c r="I34" i="44"/>
  <c r="D34" i="44"/>
  <c r="T33" i="44"/>
  <c r="I33" i="44"/>
  <c r="D33" i="44"/>
  <c r="T32" i="44"/>
  <c r="I32" i="44"/>
  <c r="D32" i="44"/>
  <c r="T31" i="44"/>
  <c r="I31" i="44"/>
  <c r="D31" i="44"/>
  <c r="T30" i="44"/>
  <c r="I30" i="44"/>
  <c r="D30" i="44"/>
  <c r="T29" i="44"/>
  <c r="I29" i="44"/>
  <c r="D29" i="44"/>
  <c r="T28" i="44"/>
  <c r="I28" i="44"/>
  <c r="D28" i="44"/>
  <c r="T27" i="44"/>
  <c r="I27" i="44"/>
  <c r="D27" i="44"/>
  <c r="T26" i="44"/>
  <c r="I26" i="44"/>
  <c r="D26" i="44"/>
  <c r="T25" i="44"/>
  <c r="I25" i="44"/>
  <c r="D25" i="44"/>
  <c r="T24" i="44"/>
  <c r="I24" i="44"/>
  <c r="D24" i="44"/>
  <c r="T23" i="44"/>
  <c r="I23" i="44"/>
  <c r="D23" i="44"/>
  <c r="T22" i="44"/>
  <c r="I22" i="44"/>
  <c r="D22" i="44"/>
  <c r="T21" i="44"/>
  <c r="I21" i="44"/>
  <c r="D21" i="44"/>
  <c r="T20" i="44"/>
  <c r="I20" i="44"/>
  <c r="D20" i="44"/>
  <c r="T19" i="44"/>
  <c r="I19" i="44"/>
  <c r="D19" i="44"/>
  <c r="T18" i="44"/>
  <c r="I18" i="44"/>
  <c r="D18" i="44"/>
  <c r="T17" i="44"/>
  <c r="I17" i="44"/>
  <c r="D17" i="44"/>
  <c r="T16" i="44"/>
  <c r="I16" i="44"/>
  <c r="D16" i="44"/>
  <c r="T15" i="44"/>
  <c r="I15" i="44"/>
  <c r="D15" i="44"/>
  <c r="T14" i="44"/>
  <c r="I14" i="44"/>
  <c r="D14" i="44"/>
  <c r="T13" i="44"/>
  <c r="I13" i="44"/>
  <c r="D13" i="44"/>
  <c r="T12" i="44"/>
  <c r="I12" i="44"/>
  <c r="D12" i="44"/>
  <c r="T11" i="44"/>
  <c r="I11" i="44"/>
  <c r="D11" i="44"/>
  <c r="T10" i="44"/>
  <c r="I10" i="44"/>
  <c r="D10" i="44"/>
  <c r="T9" i="44"/>
  <c r="I9" i="44"/>
  <c r="D9" i="44"/>
  <c r="T8" i="44"/>
  <c r="I8" i="44"/>
  <c r="D8" i="44"/>
  <c r="Q7" i="44"/>
  <c r="I7" i="44"/>
  <c r="D7" i="44"/>
  <c r="H5" i="44"/>
  <c r="F5" i="44"/>
  <c r="H4" i="44"/>
  <c r="F4" i="44"/>
  <c r="H3" i="44"/>
  <c r="F3" i="44"/>
  <c r="H2" i="44"/>
  <c r="C2" i="44"/>
  <c r="T342" i="43"/>
  <c r="T341" i="43"/>
  <c r="T340" i="43"/>
  <c r="T339" i="43"/>
  <c r="T338" i="43"/>
  <c r="T337" i="43"/>
  <c r="T336" i="43"/>
  <c r="T335" i="43"/>
  <c r="T334" i="43"/>
  <c r="T333" i="43"/>
  <c r="T332" i="43"/>
  <c r="T331" i="43"/>
  <c r="T330" i="43"/>
  <c r="T329" i="43"/>
  <c r="T328" i="43"/>
  <c r="T327" i="43"/>
  <c r="T326" i="43"/>
  <c r="T325" i="43"/>
  <c r="T324" i="43"/>
  <c r="T323" i="43"/>
  <c r="T322" i="43"/>
  <c r="T321" i="43"/>
  <c r="T320" i="43"/>
  <c r="T319" i="43"/>
  <c r="T318" i="43"/>
  <c r="T317" i="43"/>
  <c r="T316" i="43"/>
  <c r="T315" i="43"/>
  <c r="T314" i="43"/>
  <c r="T313" i="43"/>
  <c r="T312" i="43"/>
  <c r="T311" i="43"/>
  <c r="T310" i="43"/>
  <c r="T309" i="43"/>
  <c r="T308" i="43"/>
  <c r="T307" i="43"/>
  <c r="T306" i="43"/>
  <c r="T305" i="43"/>
  <c r="T304" i="43"/>
  <c r="T303" i="43"/>
  <c r="T302" i="43"/>
  <c r="T301" i="43"/>
  <c r="T300" i="43"/>
  <c r="T299" i="43"/>
  <c r="T298" i="43"/>
  <c r="T297" i="43"/>
  <c r="T296" i="43"/>
  <c r="T295" i="43"/>
  <c r="T294" i="43"/>
  <c r="T293" i="43"/>
  <c r="T292" i="43"/>
  <c r="T291" i="43"/>
  <c r="T290" i="43"/>
  <c r="T289" i="43"/>
  <c r="T288" i="43"/>
  <c r="T287" i="43"/>
  <c r="T286" i="43"/>
  <c r="T285" i="43"/>
  <c r="T284" i="43"/>
  <c r="T283" i="43"/>
  <c r="T282" i="43"/>
  <c r="T281" i="43"/>
  <c r="T280" i="43"/>
  <c r="T279" i="43"/>
  <c r="T278" i="43"/>
  <c r="T277" i="43"/>
  <c r="T276" i="43"/>
  <c r="T275" i="43"/>
  <c r="T274" i="43"/>
  <c r="T273" i="43"/>
  <c r="T272" i="43"/>
  <c r="T271" i="43"/>
  <c r="T270" i="43"/>
  <c r="T269" i="43"/>
  <c r="T268" i="43"/>
  <c r="T267" i="43"/>
  <c r="T266" i="43"/>
  <c r="T265" i="43"/>
  <c r="T264" i="43"/>
  <c r="T263" i="43"/>
  <c r="T262" i="43"/>
  <c r="T261" i="43"/>
  <c r="T260" i="43"/>
  <c r="T259" i="43"/>
  <c r="T258" i="43"/>
  <c r="T257" i="43"/>
  <c r="T256" i="43"/>
  <c r="T255" i="43"/>
  <c r="T254" i="43"/>
  <c r="T253" i="43"/>
  <c r="T252" i="43"/>
  <c r="T251" i="43"/>
  <c r="T250" i="43"/>
  <c r="T249" i="43"/>
  <c r="T248" i="43"/>
  <c r="T247" i="43"/>
  <c r="T246" i="43"/>
  <c r="T245" i="43"/>
  <c r="T244" i="43"/>
  <c r="T243" i="43"/>
  <c r="T242" i="43"/>
  <c r="T241" i="43"/>
  <c r="T240" i="43"/>
  <c r="T239" i="43"/>
  <c r="T238" i="43"/>
  <c r="T237" i="43"/>
  <c r="T236" i="43"/>
  <c r="T235" i="43"/>
  <c r="T234" i="43"/>
  <c r="T233" i="43"/>
  <c r="T232" i="43"/>
  <c r="T231" i="43"/>
  <c r="T230" i="43"/>
  <c r="T229" i="43"/>
  <c r="T228" i="43"/>
  <c r="T227" i="43"/>
  <c r="T226" i="43"/>
  <c r="T225" i="43"/>
  <c r="T224" i="43"/>
  <c r="T223" i="43"/>
  <c r="T222" i="43"/>
  <c r="T221" i="43"/>
  <c r="T220" i="43"/>
  <c r="T219" i="43"/>
  <c r="T218" i="43"/>
  <c r="T217" i="43"/>
  <c r="T216" i="43"/>
  <c r="T215" i="43"/>
  <c r="T214" i="43"/>
  <c r="T213" i="43"/>
  <c r="T212" i="43"/>
  <c r="T211" i="43"/>
  <c r="T210" i="43"/>
  <c r="T209" i="43"/>
  <c r="T208" i="43"/>
  <c r="T207" i="43"/>
  <c r="T206" i="43"/>
  <c r="T205" i="43"/>
  <c r="T204" i="43"/>
  <c r="T203" i="43"/>
  <c r="T202" i="43"/>
  <c r="T201" i="43"/>
  <c r="T200" i="43"/>
  <c r="T199" i="43"/>
  <c r="T198" i="43"/>
  <c r="T197" i="43"/>
  <c r="T196" i="43"/>
  <c r="T195" i="43"/>
  <c r="T194" i="43"/>
  <c r="T193" i="43"/>
  <c r="T192" i="43"/>
  <c r="T191" i="43"/>
  <c r="T190" i="43"/>
  <c r="T189" i="43"/>
  <c r="T188" i="43"/>
  <c r="T187" i="43"/>
  <c r="T186" i="43"/>
  <c r="T185" i="43"/>
  <c r="T184" i="43"/>
  <c r="T183" i="43"/>
  <c r="T182" i="43"/>
  <c r="T181" i="43"/>
  <c r="T180" i="43"/>
  <c r="T179" i="43"/>
  <c r="T178" i="43"/>
  <c r="T177" i="43"/>
  <c r="T176" i="43"/>
  <c r="T175" i="43"/>
  <c r="T174" i="43"/>
  <c r="T173" i="43"/>
  <c r="T172" i="43"/>
  <c r="T171" i="43"/>
  <c r="T170" i="43"/>
  <c r="T169" i="43"/>
  <c r="T168" i="43"/>
  <c r="T167" i="43"/>
  <c r="T166" i="43"/>
  <c r="T165" i="43"/>
  <c r="T164" i="43"/>
  <c r="T163" i="43"/>
  <c r="T162" i="43"/>
  <c r="T161" i="43"/>
  <c r="T160" i="43"/>
  <c r="T159" i="43"/>
  <c r="T158" i="43"/>
  <c r="T157" i="43"/>
  <c r="T156" i="43"/>
  <c r="T155" i="43"/>
  <c r="T154" i="43"/>
  <c r="T153" i="43"/>
  <c r="T152" i="43"/>
  <c r="T151" i="43"/>
  <c r="T150" i="43"/>
  <c r="T149" i="43"/>
  <c r="T148" i="43"/>
  <c r="T147" i="43"/>
  <c r="T146" i="43"/>
  <c r="T145" i="43"/>
  <c r="T144" i="43"/>
  <c r="T143" i="43"/>
  <c r="T142" i="43"/>
  <c r="T141" i="43"/>
  <c r="T140" i="43"/>
  <c r="T139" i="43"/>
  <c r="T138" i="43"/>
  <c r="T137" i="43"/>
  <c r="T136" i="43"/>
  <c r="T135" i="43"/>
  <c r="T134" i="43"/>
  <c r="T133" i="43"/>
  <c r="T132" i="43"/>
  <c r="T131" i="43"/>
  <c r="T130" i="43"/>
  <c r="T129" i="43"/>
  <c r="T128" i="43"/>
  <c r="T127" i="43"/>
  <c r="T126" i="43"/>
  <c r="T125" i="43"/>
  <c r="T124" i="43"/>
  <c r="T123" i="43"/>
  <c r="T122" i="43"/>
  <c r="T121" i="43"/>
  <c r="T120" i="43"/>
  <c r="T119" i="43"/>
  <c r="T118" i="43"/>
  <c r="T117" i="43"/>
  <c r="T116" i="43"/>
  <c r="T115" i="43"/>
  <c r="T114" i="43"/>
  <c r="T113" i="43"/>
  <c r="T112" i="43"/>
  <c r="T111" i="43"/>
  <c r="T110" i="43"/>
  <c r="T109" i="43"/>
  <c r="T108" i="43"/>
  <c r="T107" i="43"/>
  <c r="T106" i="43"/>
  <c r="T105" i="43"/>
  <c r="T104" i="43"/>
  <c r="T103" i="43"/>
  <c r="T102" i="43"/>
  <c r="T101" i="43"/>
  <c r="T100" i="43"/>
  <c r="T99" i="43"/>
  <c r="T98" i="43"/>
  <c r="T97" i="43"/>
  <c r="T96" i="43"/>
  <c r="T95" i="43"/>
  <c r="T94" i="43"/>
  <c r="T93" i="43"/>
  <c r="T92" i="43"/>
  <c r="T91" i="43"/>
  <c r="T90" i="43"/>
  <c r="T89" i="43"/>
  <c r="T88" i="43"/>
  <c r="T87" i="43"/>
  <c r="T86" i="43"/>
  <c r="T85" i="43"/>
  <c r="T84" i="43"/>
  <c r="T83" i="43"/>
  <c r="T82" i="43"/>
  <c r="T81" i="43"/>
  <c r="T80" i="43"/>
  <c r="T79" i="43"/>
  <c r="T78" i="43"/>
  <c r="T77" i="43"/>
  <c r="T76" i="43"/>
  <c r="T75" i="43"/>
  <c r="T74" i="43"/>
  <c r="T73" i="43"/>
  <c r="T72" i="43"/>
  <c r="T71" i="43"/>
  <c r="T70" i="43"/>
  <c r="T69" i="43"/>
  <c r="T68" i="43"/>
  <c r="T67" i="43"/>
  <c r="T66" i="43"/>
  <c r="T65" i="43"/>
  <c r="T64" i="43"/>
  <c r="T63" i="43"/>
  <c r="T62" i="43"/>
  <c r="T61" i="43"/>
  <c r="T60" i="43"/>
  <c r="T59" i="43"/>
  <c r="T58" i="43"/>
  <c r="T57" i="43"/>
  <c r="T56" i="43"/>
  <c r="T55" i="43"/>
  <c r="T54" i="43"/>
  <c r="T53" i="43"/>
  <c r="F53" i="43"/>
  <c r="T52" i="43"/>
  <c r="T51" i="43"/>
  <c r="T50" i="43"/>
  <c r="T49" i="43"/>
  <c r="T48" i="43"/>
  <c r="I48" i="43"/>
  <c r="D48" i="43"/>
  <c r="T47" i="43"/>
  <c r="I47" i="43"/>
  <c r="D47" i="43"/>
  <c r="T46" i="43"/>
  <c r="I46" i="43"/>
  <c r="D46" i="43"/>
  <c r="T45" i="43"/>
  <c r="I45" i="43"/>
  <c r="D45" i="43"/>
  <c r="T44" i="43"/>
  <c r="I44" i="43"/>
  <c r="D44" i="43"/>
  <c r="T43" i="43"/>
  <c r="I43" i="43"/>
  <c r="D43" i="43"/>
  <c r="T42" i="43"/>
  <c r="I42" i="43"/>
  <c r="D42" i="43"/>
  <c r="T41" i="43"/>
  <c r="I41" i="43"/>
  <c r="D41" i="43"/>
  <c r="T40" i="43"/>
  <c r="I40" i="43"/>
  <c r="D40" i="43"/>
  <c r="T39" i="43"/>
  <c r="I39" i="43"/>
  <c r="D39" i="43"/>
  <c r="T38" i="43"/>
  <c r="I38" i="43"/>
  <c r="D38" i="43"/>
  <c r="T37" i="43"/>
  <c r="I37" i="43"/>
  <c r="D37" i="43"/>
  <c r="T36" i="43"/>
  <c r="I36" i="43"/>
  <c r="D36" i="43"/>
  <c r="T35" i="43"/>
  <c r="I35" i="43"/>
  <c r="D35" i="43"/>
  <c r="T34" i="43"/>
  <c r="I34" i="43"/>
  <c r="D34" i="43"/>
  <c r="T33" i="43"/>
  <c r="I33" i="43"/>
  <c r="D33" i="43"/>
  <c r="T32" i="43"/>
  <c r="I32" i="43"/>
  <c r="D32" i="43"/>
  <c r="T31" i="43"/>
  <c r="I31" i="43"/>
  <c r="D31" i="43"/>
  <c r="T30" i="43"/>
  <c r="I30" i="43"/>
  <c r="D30" i="43"/>
  <c r="T29" i="43"/>
  <c r="I29" i="43"/>
  <c r="D29" i="43"/>
  <c r="T28" i="43"/>
  <c r="I28" i="43"/>
  <c r="D28" i="43"/>
  <c r="T27" i="43"/>
  <c r="I27" i="43"/>
  <c r="D27" i="43"/>
  <c r="T26" i="43"/>
  <c r="I26" i="43"/>
  <c r="D26" i="43"/>
  <c r="T25" i="43"/>
  <c r="I25" i="43"/>
  <c r="D25" i="43"/>
  <c r="T24" i="43"/>
  <c r="I24" i="43"/>
  <c r="D24" i="43"/>
  <c r="T23" i="43"/>
  <c r="I23" i="43"/>
  <c r="D23" i="43"/>
  <c r="T22" i="43"/>
  <c r="I22" i="43"/>
  <c r="D22" i="43"/>
  <c r="T21" i="43"/>
  <c r="I21" i="43"/>
  <c r="D21" i="43"/>
  <c r="T20" i="43"/>
  <c r="I20" i="43"/>
  <c r="D20" i="43"/>
  <c r="T19" i="43"/>
  <c r="I19" i="43"/>
  <c r="D19" i="43"/>
  <c r="T18" i="43"/>
  <c r="I18" i="43"/>
  <c r="D18" i="43"/>
  <c r="T17" i="43"/>
  <c r="I17" i="43"/>
  <c r="D17" i="43"/>
  <c r="T16" i="43"/>
  <c r="I16" i="43"/>
  <c r="D16" i="43"/>
  <c r="T15" i="43"/>
  <c r="I15" i="43"/>
  <c r="D15" i="43"/>
  <c r="T14" i="43"/>
  <c r="I14" i="43"/>
  <c r="D14" i="43"/>
  <c r="T13" i="43"/>
  <c r="I13" i="43"/>
  <c r="D13" i="43"/>
  <c r="T12" i="43"/>
  <c r="I12" i="43"/>
  <c r="D12" i="43"/>
  <c r="T11" i="43"/>
  <c r="I11" i="43"/>
  <c r="D11" i="43"/>
  <c r="T10" i="43"/>
  <c r="I10" i="43"/>
  <c r="D10" i="43"/>
  <c r="T9" i="43"/>
  <c r="I9" i="43"/>
  <c r="D9" i="43"/>
  <c r="T8" i="43"/>
  <c r="I8" i="43"/>
  <c r="D8" i="43"/>
  <c r="Q7" i="43"/>
  <c r="I7" i="43"/>
  <c r="D7" i="43"/>
  <c r="H5" i="43"/>
  <c r="F5" i="43"/>
  <c r="H4" i="43"/>
  <c r="F4" i="43"/>
  <c r="H3" i="43"/>
  <c r="F3" i="43"/>
  <c r="H2" i="43"/>
  <c r="C2" i="43"/>
  <c r="T342" i="42"/>
  <c r="T341" i="42"/>
  <c r="T340" i="42"/>
  <c r="T339" i="42"/>
  <c r="T338" i="42"/>
  <c r="T337" i="42"/>
  <c r="T336" i="42"/>
  <c r="T335" i="42"/>
  <c r="T334" i="42"/>
  <c r="T333" i="42"/>
  <c r="T332" i="42"/>
  <c r="T331" i="42"/>
  <c r="T330" i="42"/>
  <c r="T329" i="42"/>
  <c r="T328" i="42"/>
  <c r="T327" i="42"/>
  <c r="T326" i="42"/>
  <c r="T325" i="42"/>
  <c r="T324" i="42"/>
  <c r="T323" i="42"/>
  <c r="T322" i="42"/>
  <c r="T321" i="42"/>
  <c r="T320" i="42"/>
  <c r="T319" i="42"/>
  <c r="T318" i="42"/>
  <c r="T317" i="42"/>
  <c r="T316" i="42"/>
  <c r="T315" i="42"/>
  <c r="T314" i="42"/>
  <c r="T313" i="42"/>
  <c r="T312" i="42"/>
  <c r="T311" i="42"/>
  <c r="T310" i="42"/>
  <c r="T309" i="42"/>
  <c r="T308" i="42"/>
  <c r="T307" i="42"/>
  <c r="T306" i="42"/>
  <c r="T305" i="42"/>
  <c r="T304" i="42"/>
  <c r="T303" i="42"/>
  <c r="T302" i="42"/>
  <c r="T301" i="42"/>
  <c r="T300" i="42"/>
  <c r="T299" i="42"/>
  <c r="T298" i="42"/>
  <c r="T297" i="42"/>
  <c r="T296" i="42"/>
  <c r="T295" i="42"/>
  <c r="T294" i="42"/>
  <c r="T293" i="42"/>
  <c r="T292" i="42"/>
  <c r="T291" i="42"/>
  <c r="T290" i="42"/>
  <c r="T289" i="42"/>
  <c r="T288" i="42"/>
  <c r="T287" i="42"/>
  <c r="T286" i="42"/>
  <c r="T285" i="42"/>
  <c r="T284" i="42"/>
  <c r="T283" i="42"/>
  <c r="T282" i="42"/>
  <c r="T281" i="42"/>
  <c r="T280" i="42"/>
  <c r="T279" i="42"/>
  <c r="T278" i="42"/>
  <c r="T277" i="42"/>
  <c r="T276" i="42"/>
  <c r="T275" i="42"/>
  <c r="T274" i="42"/>
  <c r="T273" i="42"/>
  <c r="T272" i="42"/>
  <c r="T271" i="42"/>
  <c r="T270" i="42"/>
  <c r="T269" i="42"/>
  <c r="T268" i="42"/>
  <c r="T267" i="42"/>
  <c r="T266" i="42"/>
  <c r="T265" i="42"/>
  <c r="T264" i="42"/>
  <c r="T263" i="42"/>
  <c r="T262" i="42"/>
  <c r="T261" i="42"/>
  <c r="T260" i="42"/>
  <c r="T259" i="42"/>
  <c r="T258" i="42"/>
  <c r="T257" i="42"/>
  <c r="T256" i="42"/>
  <c r="T255" i="42"/>
  <c r="T254" i="42"/>
  <c r="T253" i="42"/>
  <c r="T252" i="42"/>
  <c r="T251" i="42"/>
  <c r="T250" i="42"/>
  <c r="T249" i="42"/>
  <c r="T248" i="42"/>
  <c r="T247" i="42"/>
  <c r="T246" i="42"/>
  <c r="T245" i="42"/>
  <c r="T244" i="42"/>
  <c r="T243" i="42"/>
  <c r="T242" i="42"/>
  <c r="T241" i="42"/>
  <c r="T240" i="42"/>
  <c r="T239" i="42"/>
  <c r="T238" i="42"/>
  <c r="T237" i="42"/>
  <c r="T236" i="42"/>
  <c r="T235" i="42"/>
  <c r="T234" i="42"/>
  <c r="T233" i="42"/>
  <c r="T232" i="42"/>
  <c r="T231" i="42"/>
  <c r="T230" i="42"/>
  <c r="T229" i="42"/>
  <c r="T228" i="42"/>
  <c r="T227" i="42"/>
  <c r="T226" i="42"/>
  <c r="T225" i="42"/>
  <c r="T224" i="42"/>
  <c r="T223" i="42"/>
  <c r="T222" i="42"/>
  <c r="T221" i="42"/>
  <c r="T220" i="42"/>
  <c r="T219" i="42"/>
  <c r="T218" i="42"/>
  <c r="T217" i="42"/>
  <c r="T216" i="42"/>
  <c r="T215" i="42"/>
  <c r="T214" i="42"/>
  <c r="T213" i="42"/>
  <c r="T212" i="42"/>
  <c r="T211" i="42"/>
  <c r="T210" i="42"/>
  <c r="T209" i="42"/>
  <c r="T208" i="42"/>
  <c r="T207" i="42"/>
  <c r="T206" i="42"/>
  <c r="T205" i="42"/>
  <c r="T204" i="42"/>
  <c r="T203" i="42"/>
  <c r="T202" i="42"/>
  <c r="T201" i="42"/>
  <c r="T200" i="42"/>
  <c r="T199" i="42"/>
  <c r="T198" i="42"/>
  <c r="T197" i="42"/>
  <c r="T196" i="42"/>
  <c r="T195" i="42"/>
  <c r="T194" i="42"/>
  <c r="T193" i="42"/>
  <c r="T192" i="42"/>
  <c r="T191" i="42"/>
  <c r="T190" i="42"/>
  <c r="T189" i="42"/>
  <c r="T188" i="42"/>
  <c r="T187" i="42"/>
  <c r="T186" i="42"/>
  <c r="T185" i="42"/>
  <c r="T184" i="42"/>
  <c r="T183" i="42"/>
  <c r="T182" i="42"/>
  <c r="T181" i="42"/>
  <c r="T180" i="42"/>
  <c r="T179" i="42"/>
  <c r="T178" i="42"/>
  <c r="T177" i="42"/>
  <c r="T176" i="42"/>
  <c r="T175" i="42"/>
  <c r="T174" i="42"/>
  <c r="T173" i="42"/>
  <c r="T172" i="42"/>
  <c r="T171" i="42"/>
  <c r="T170" i="42"/>
  <c r="T169" i="42"/>
  <c r="T168" i="42"/>
  <c r="T167" i="42"/>
  <c r="T166" i="42"/>
  <c r="T165" i="42"/>
  <c r="T164" i="42"/>
  <c r="T163" i="42"/>
  <c r="T162" i="42"/>
  <c r="T161" i="42"/>
  <c r="T160" i="42"/>
  <c r="T159" i="42"/>
  <c r="T158" i="42"/>
  <c r="T157" i="42"/>
  <c r="T156" i="42"/>
  <c r="T155" i="42"/>
  <c r="T154" i="42"/>
  <c r="T153" i="42"/>
  <c r="T152" i="42"/>
  <c r="T151" i="42"/>
  <c r="T150" i="42"/>
  <c r="T149" i="42"/>
  <c r="T148" i="42"/>
  <c r="T147" i="42"/>
  <c r="T146" i="42"/>
  <c r="T145" i="42"/>
  <c r="T144" i="42"/>
  <c r="T143" i="42"/>
  <c r="T142" i="42"/>
  <c r="T141" i="42"/>
  <c r="T140" i="42"/>
  <c r="T139" i="42"/>
  <c r="T138" i="42"/>
  <c r="T137" i="42"/>
  <c r="T136" i="42"/>
  <c r="T135" i="42"/>
  <c r="T134" i="42"/>
  <c r="T133" i="42"/>
  <c r="T132" i="42"/>
  <c r="T131" i="42"/>
  <c r="T130" i="42"/>
  <c r="T129" i="42"/>
  <c r="T128" i="42"/>
  <c r="T127" i="42"/>
  <c r="T126" i="42"/>
  <c r="T125" i="42"/>
  <c r="T124" i="42"/>
  <c r="T123" i="42"/>
  <c r="T122" i="42"/>
  <c r="T121" i="42"/>
  <c r="T120" i="42"/>
  <c r="T119" i="42"/>
  <c r="T118" i="42"/>
  <c r="T117" i="42"/>
  <c r="T116" i="42"/>
  <c r="T115" i="42"/>
  <c r="T114" i="42"/>
  <c r="T113" i="42"/>
  <c r="T112" i="42"/>
  <c r="T111" i="42"/>
  <c r="T110" i="42"/>
  <c r="T109" i="42"/>
  <c r="T108" i="42"/>
  <c r="T107" i="42"/>
  <c r="T106" i="42"/>
  <c r="T105" i="42"/>
  <c r="T104" i="42"/>
  <c r="T103" i="42"/>
  <c r="T102" i="42"/>
  <c r="T101" i="42"/>
  <c r="T100" i="42"/>
  <c r="T99" i="42"/>
  <c r="T98" i="42"/>
  <c r="T97" i="42"/>
  <c r="T96" i="42"/>
  <c r="T95" i="42"/>
  <c r="T94" i="42"/>
  <c r="T93" i="42"/>
  <c r="T92" i="42"/>
  <c r="T91" i="42"/>
  <c r="T90" i="42"/>
  <c r="T89" i="42"/>
  <c r="T88" i="42"/>
  <c r="T87" i="42"/>
  <c r="T86" i="42"/>
  <c r="T85" i="42"/>
  <c r="T84" i="42"/>
  <c r="T83" i="42"/>
  <c r="T82" i="42"/>
  <c r="T81" i="42"/>
  <c r="T80" i="42"/>
  <c r="T79" i="42"/>
  <c r="T78" i="42"/>
  <c r="T77" i="42"/>
  <c r="T76" i="42"/>
  <c r="T75" i="42"/>
  <c r="T74" i="42"/>
  <c r="T73" i="42"/>
  <c r="T72" i="42"/>
  <c r="T71" i="42"/>
  <c r="T70" i="42"/>
  <c r="T69" i="42"/>
  <c r="T68" i="42"/>
  <c r="T67" i="42"/>
  <c r="T66" i="42"/>
  <c r="T65" i="42"/>
  <c r="T64" i="42"/>
  <c r="T63" i="42"/>
  <c r="T62" i="42"/>
  <c r="T61" i="42"/>
  <c r="T60" i="42"/>
  <c r="T59" i="42"/>
  <c r="T58" i="42"/>
  <c r="T57" i="42"/>
  <c r="T56" i="42"/>
  <c r="T55" i="42"/>
  <c r="T54" i="42"/>
  <c r="T53" i="42"/>
  <c r="F53" i="42"/>
  <c r="T52" i="42"/>
  <c r="T51" i="42"/>
  <c r="T50" i="42"/>
  <c r="T49" i="42"/>
  <c r="T48" i="42"/>
  <c r="I48" i="42"/>
  <c r="D48" i="42"/>
  <c r="T47" i="42"/>
  <c r="I47" i="42"/>
  <c r="D47" i="42"/>
  <c r="T46" i="42"/>
  <c r="I46" i="42"/>
  <c r="D46" i="42"/>
  <c r="T45" i="42"/>
  <c r="I45" i="42"/>
  <c r="D45" i="42"/>
  <c r="T44" i="42"/>
  <c r="I44" i="42"/>
  <c r="D44" i="42"/>
  <c r="T43" i="42"/>
  <c r="I43" i="42"/>
  <c r="D43" i="42"/>
  <c r="T42" i="42"/>
  <c r="I42" i="42"/>
  <c r="D42" i="42"/>
  <c r="T41" i="42"/>
  <c r="I41" i="42"/>
  <c r="D41" i="42"/>
  <c r="T40" i="42"/>
  <c r="I40" i="42"/>
  <c r="D40" i="42"/>
  <c r="T39" i="42"/>
  <c r="I39" i="42"/>
  <c r="D39" i="42"/>
  <c r="T38" i="42"/>
  <c r="I38" i="42"/>
  <c r="D38" i="42"/>
  <c r="T37" i="42"/>
  <c r="I37" i="42"/>
  <c r="D37" i="42"/>
  <c r="T36" i="42"/>
  <c r="I36" i="42"/>
  <c r="D36" i="42"/>
  <c r="T35" i="42"/>
  <c r="I35" i="42"/>
  <c r="D35" i="42"/>
  <c r="T34" i="42"/>
  <c r="I34" i="42"/>
  <c r="D34" i="42"/>
  <c r="T33" i="42"/>
  <c r="I33" i="42"/>
  <c r="D33" i="42"/>
  <c r="T32" i="42"/>
  <c r="I32" i="42"/>
  <c r="D32" i="42"/>
  <c r="T31" i="42"/>
  <c r="I31" i="42"/>
  <c r="D31" i="42"/>
  <c r="T30" i="42"/>
  <c r="I30" i="42"/>
  <c r="D30" i="42"/>
  <c r="T29" i="42"/>
  <c r="I29" i="42"/>
  <c r="D29" i="42"/>
  <c r="T28" i="42"/>
  <c r="I28" i="42"/>
  <c r="D28" i="42"/>
  <c r="T27" i="42"/>
  <c r="I27" i="42"/>
  <c r="D27" i="42"/>
  <c r="T26" i="42"/>
  <c r="I26" i="42"/>
  <c r="D26" i="42"/>
  <c r="T25" i="42"/>
  <c r="I25" i="42"/>
  <c r="D25" i="42"/>
  <c r="T24" i="42"/>
  <c r="I24" i="42"/>
  <c r="D24" i="42"/>
  <c r="T23" i="42"/>
  <c r="I23" i="42"/>
  <c r="D23" i="42"/>
  <c r="T22" i="42"/>
  <c r="I22" i="42"/>
  <c r="D22" i="42"/>
  <c r="T21" i="42"/>
  <c r="I21" i="42"/>
  <c r="D21" i="42"/>
  <c r="T20" i="42"/>
  <c r="I20" i="42"/>
  <c r="D20" i="42"/>
  <c r="T19" i="42"/>
  <c r="I19" i="42"/>
  <c r="D19" i="42"/>
  <c r="T18" i="42"/>
  <c r="I18" i="42"/>
  <c r="D18" i="42"/>
  <c r="T17" i="42"/>
  <c r="I17" i="42"/>
  <c r="D17" i="42"/>
  <c r="T16" i="42"/>
  <c r="I16" i="42"/>
  <c r="D16" i="42"/>
  <c r="T15" i="42"/>
  <c r="I15" i="42"/>
  <c r="D15" i="42"/>
  <c r="T14" i="42"/>
  <c r="I14" i="42"/>
  <c r="D14" i="42"/>
  <c r="T13" i="42"/>
  <c r="I13" i="42"/>
  <c r="D13" i="42"/>
  <c r="T12" i="42"/>
  <c r="I12" i="42"/>
  <c r="D12" i="42"/>
  <c r="T11" i="42"/>
  <c r="I11" i="42"/>
  <c r="D11" i="42"/>
  <c r="T10" i="42"/>
  <c r="I10" i="42"/>
  <c r="D10" i="42"/>
  <c r="T9" i="42"/>
  <c r="I9" i="42"/>
  <c r="D9" i="42"/>
  <c r="T8" i="42"/>
  <c r="I8" i="42"/>
  <c r="D8" i="42"/>
  <c r="Q7" i="42"/>
  <c r="I7" i="42"/>
  <c r="D7" i="42"/>
  <c r="H5" i="42"/>
  <c r="F5" i="42"/>
  <c r="H4" i="42"/>
  <c r="F4" i="42"/>
  <c r="H3" i="42"/>
  <c r="F3" i="42"/>
  <c r="H2" i="42"/>
  <c r="C2" i="42"/>
  <c r="T342" i="41"/>
  <c r="T341" i="41"/>
  <c r="T340" i="41"/>
  <c r="T339" i="41"/>
  <c r="T338" i="41"/>
  <c r="T337" i="41"/>
  <c r="T336" i="41"/>
  <c r="T335" i="41"/>
  <c r="T334" i="41"/>
  <c r="T333" i="41"/>
  <c r="T332" i="41"/>
  <c r="T331" i="41"/>
  <c r="T330" i="41"/>
  <c r="T329" i="41"/>
  <c r="T328" i="41"/>
  <c r="T327" i="41"/>
  <c r="T326" i="41"/>
  <c r="T325" i="41"/>
  <c r="T324" i="41"/>
  <c r="T323" i="41"/>
  <c r="T322" i="41"/>
  <c r="T321" i="41"/>
  <c r="T320" i="41"/>
  <c r="T319" i="41"/>
  <c r="T318" i="41"/>
  <c r="T317" i="41"/>
  <c r="T316" i="41"/>
  <c r="T315" i="41"/>
  <c r="T314" i="41"/>
  <c r="T313" i="41"/>
  <c r="T312" i="41"/>
  <c r="T311" i="41"/>
  <c r="T310" i="41"/>
  <c r="T309" i="41"/>
  <c r="T308" i="41"/>
  <c r="T307" i="41"/>
  <c r="T306" i="41"/>
  <c r="T305" i="41"/>
  <c r="T304" i="41"/>
  <c r="T303" i="41"/>
  <c r="T302" i="41"/>
  <c r="T301" i="41"/>
  <c r="T300" i="41"/>
  <c r="T299" i="41"/>
  <c r="T298" i="41"/>
  <c r="T297" i="41"/>
  <c r="T296" i="41"/>
  <c r="T295" i="41"/>
  <c r="T294" i="41"/>
  <c r="T293" i="41"/>
  <c r="T292" i="41"/>
  <c r="T291" i="41"/>
  <c r="T290" i="41"/>
  <c r="T289" i="41"/>
  <c r="T288" i="41"/>
  <c r="T287" i="41"/>
  <c r="T286" i="41"/>
  <c r="T285" i="41"/>
  <c r="T284" i="41"/>
  <c r="T283" i="41"/>
  <c r="T282" i="41"/>
  <c r="T281" i="41"/>
  <c r="T280" i="41"/>
  <c r="T279" i="41"/>
  <c r="T278" i="41"/>
  <c r="T277" i="41"/>
  <c r="T276" i="41"/>
  <c r="T275" i="41"/>
  <c r="T274" i="41"/>
  <c r="T273" i="41"/>
  <c r="T272" i="41"/>
  <c r="T271" i="41"/>
  <c r="T270" i="41"/>
  <c r="T269" i="41"/>
  <c r="T268" i="41"/>
  <c r="T267" i="41"/>
  <c r="T266" i="41"/>
  <c r="T265" i="41"/>
  <c r="T264" i="41"/>
  <c r="T263" i="41"/>
  <c r="T262" i="41"/>
  <c r="T261" i="41"/>
  <c r="T260" i="41"/>
  <c r="T259" i="41"/>
  <c r="T258" i="41"/>
  <c r="T257" i="41"/>
  <c r="T256" i="41"/>
  <c r="T255" i="41"/>
  <c r="T254" i="41"/>
  <c r="T253" i="41"/>
  <c r="T252" i="41"/>
  <c r="T251" i="41"/>
  <c r="T250" i="41"/>
  <c r="T249" i="41"/>
  <c r="T248" i="41"/>
  <c r="T247" i="41"/>
  <c r="T246" i="41"/>
  <c r="T245" i="41"/>
  <c r="T244" i="41"/>
  <c r="T243" i="41"/>
  <c r="T242" i="41"/>
  <c r="T241" i="41"/>
  <c r="T240" i="41"/>
  <c r="T239" i="41"/>
  <c r="T238" i="41"/>
  <c r="T237" i="41"/>
  <c r="T236" i="41"/>
  <c r="T235" i="41"/>
  <c r="T234" i="41"/>
  <c r="T233" i="41"/>
  <c r="T232" i="41"/>
  <c r="T231" i="41"/>
  <c r="T230" i="41"/>
  <c r="T229" i="41"/>
  <c r="T228" i="41"/>
  <c r="T227" i="41"/>
  <c r="T226" i="41"/>
  <c r="T225" i="41"/>
  <c r="T224" i="41"/>
  <c r="T223" i="41"/>
  <c r="T222" i="41"/>
  <c r="T221" i="41"/>
  <c r="T220" i="41"/>
  <c r="T219" i="41"/>
  <c r="T218" i="41"/>
  <c r="T217" i="41"/>
  <c r="T216" i="41"/>
  <c r="T215" i="41"/>
  <c r="T214" i="41"/>
  <c r="T213" i="41"/>
  <c r="T212" i="41"/>
  <c r="T211" i="41"/>
  <c r="T210" i="41"/>
  <c r="T209" i="41"/>
  <c r="T208" i="41"/>
  <c r="T207" i="41"/>
  <c r="T206" i="41"/>
  <c r="T205" i="41"/>
  <c r="T204" i="41"/>
  <c r="T203" i="41"/>
  <c r="T202" i="41"/>
  <c r="T201" i="41"/>
  <c r="T200" i="41"/>
  <c r="T199" i="41"/>
  <c r="T198" i="41"/>
  <c r="T197" i="41"/>
  <c r="T196" i="41"/>
  <c r="T195" i="41"/>
  <c r="T194" i="41"/>
  <c r="T193" i="41"/>
  <c r="T192" i="41"/>
  <c r="T191" i="41"/>
  <c r="T190" i="41"/>
  <c r="T189" i="41"/>
  <c r="T188" i="41"/>
  <c r="T187" i="41"/>
  <c r="T186" i="41"/>
  <c r="T185" i="41"/>
  <c r="T184" i="41"/>
  <c r="T183" i="41"/>
  <c r="T182" i="41"/>
  <c r="T181" i="41"/>
  <c r="T180" i="41"/>
  <c r="T179" i="41"/>
  <c r="T178" i="41"/>
  <c r="T177" i="41"/>
  <c r="T176" i="41"/>
  <c r="T175" i="41"/>
  <c r="T174" i="41"/>
  <c r="T173" i="41"/>
  <c r="T172" i="41"/>
  <c r="T171" i="41"/>
  <c r="T170" i="41"/>
  <c r="T169" i="41"/>
  <c r="T168" i="41"/>
  <c r="T167" i="41"/>
  <c r="T166" i="41"/>
  <c r="T165" i="41"/>
  <c r="T164" i="41"/>
  <c r="T163" i="41"/>
  <c r="T162" i="41"/>
  <c r="T161" i="41"/>
  <c r="T160" i="41"/>
  <c r="T159" i="41"/>
  <c r="T158" i="41"/>
  <c r="T157" i="41"/>
  <c r="T156" i="41"/>
  <c r="T155" i="41"/>
  <c r="T154" i="41"/>
  <c r="T153" i="41"/>
  <c r="T152" i="41"/>
  <c r="T151" i="41"/>
  <c r="T150" i="41"/>
  <c r="T149" i="41"/>
  <c r="T148" i="41"/>
  <c r="T147" i="41"/>
  <c r="T146" i="41"/>
  <c r="T145" i="41"/>
  <c r="T144" i="41"/>
  <c r="T143" i="41"/>
  <c r="T142" i="41"/>
  <c r="T141" i="41"/>
  <c r="T140" i="41"/>
  <c r="T139" i="41"/>
  <c r="T138" i="41"/>
  <c r="T137" i="41"/>
  <c r="T136" i="41"/>
  <c r="T135" i="41"/>
  <c r="T134" i="41"/>
  <c r="T133" i="41"/>
  <c r="T132" i="41"/>
  <c r="T131" i="41"/>
  <c r="T130" i="41"/>
  <c r="T129" i="41"/>
  <c r="T128" i="41"/>
  <c r="T127" i="41"/>
  <c r="T126" i="41"/>
  <c r="T125" i="41"/>
  <c r="T124" i="41"/>
  <c r="T123" i="41"/>
  <c r="T122" i="41"/>
  <c r="T121" i="41"/>
  <c r="T120" i="41"/>
  <c r="T119" i="41"/>
  <c r="T118" i="41"/>
  <c r="T117" i="41"/>
  <c r="T116" i="41"/>
  <c r="T115" i="41"/>
  <c r="T114" i="41"/>
  <c r="T113" i="41"/>
  <c r="T112" i="41"/>
  <c r="T111" i="41"/>
  <c r="T110" i="41"/>
  <c r="T109" i="41"/>
  <c r="T108" i="41"/>
  <c r="T107" i="41"/>
  <c r="T106" i="41"/>
  <c r="T105" i="41"/>
  <c r="T104" i="41"/>
  <c r="T103" i="41"/>
  <c r="T102" i="41"/>
  <c r="T101" i="41"/>
  <c r="T100" i="41"/>
  <c r="T99" i="41"/>
  <c r="T98" i="41"/>
  <c r="T97" i="41"/>
  <c r="T96" i="41"/>
  <c r="T95" i="41"/>
  <c r="T94" i="41"/>
  <c r="T93" i="41"/>
  <c r="T92" i="41"/>
  <c r="T91" i="41"/>
  <c r="T90" i="41"/>
  <c r="T89" i="41"/>
  <c r="T88" i="41"/>
  <c r="T87" i="41"/>
  <c r="T86" i="41"/>
  <c r="T85" i="41"/>
  <c r="T84" i="41"/>
  <c r="T83" i="41"/>
  <c r="T82" i="41"/>
  <c r="T81" i="41"/>
  <c r="T80" i="41"/>
  <c r="T79" i="41"/>
  <c r="T78" i="41"/>
  <c r="T77" i="41"/>
  <c r="T76" i="41"/>
  <c r="T75" i="41"/>
  <c r="T74" i="41"/>
  <c r="T73" i="41"/>
  <c r="T72" i="41"/>
  <c r="T71" i="41"/>
  <c r="T70" i="41"/>
  <c r="T69" i="41"/>
  <c r="T68" i="41"/>
  <c r="T67" i="41"/>
  <c r="T66" i="41"/>
  <c r="T65" i="41"/>
  <c r="T64" i="41"/>
  <c r="T63" i="41"/>
  <c r="T62" i="41"/>
  <c r="T61" i="41"/>
  <c r="T60" i="41"/>
  <c r="T59" i="41"/>
  <c r="T58" i="41"/>
  <c r="T57" i="41"/>
  <c r="T56" i="41"/>
  <c r="T55" i="41"/>
  <c r="T54" i="41"/>
  <c r="T53" i="41"/>
  <c r="F53" i="41"/>
  <c r="T52" i="41"/>
  <c r="T51" i="41"/>
  <c r="T50" i="41"/>
  <c r="T49" i="41"/>
  <c r="T48" i="41"/>
  <c r="I48" i="41"/>
  <c r="D48" i="41"/>
  <c r="T47" i="41"/>
  <c r="I47" i="41"/>
  <c r="D47" i="41"/>
  <c r="T46" i="41"/>
  <c r="I46" i="41"/>
  <c r="D46" i="41"/>
  <c r="T45" i="41"/>
  <c r="I45" i="41"/>
  <c r="D45" i="41"/>
  <c r="T44" i="41"/>
  <c r="I44" i="41"/>
  <c r="D44" i="41"/>
  <c r="T43" i="41"/>
  <c r="I43" i="41"/>
  <c r="D43" i="41"/>
  <c r="T42" i="41"/>
  <c r="I42" i="41"/>
  <c r="D42" i="41"/>
  <c r="T41" i="41"/>
  <c r="I41" i="41"/>
  <c r="D41" i="41"/>
  <c r="T40" i="41"/>
  <c r="I40" i="41"/>
  <c r="D40" i="41"/>
  <c r="T39" i="41"/>
  <c r="I39" i="41"/>
  <c r="D39" i="41"/>
  <c r="T38" i="41"/>
  <c r="I38" i="41"/>
  <c r="D38" i="41"/>
  <c r="T37" i="41"/>
  <c r="I37" i="41"/>
  <c r="D37" i="41"/>
  <c r="T36" i="41"/>
  <c r="I36" i="41"/>
  <c r="D36" i="41"/>
  <c r="T35" i="41"/>
  <c r="I35" i="41"/>
  <c r="D35" i="41"/>
  <c r="T34" i="41"/>
  <c r="I34" i="41"/>
  <c r="D34" i="41"/>
  <c r="T33" i="41"/>
  <c r="I33" i="41"/>
  <c r="D33" i="41"/>
  <c r="T32" i="41"/>
  <c r="I32" i="41"/>
  <c r="D32" i="41"/>
  <c r="T31" i="41"/>
  <c r="I31" i="41"/>
  <c r="D31" i="41"/>
  <c r="T30" i="41"/>
  <c r="I30" i="41"/>
  <c r="D30" i="41"/>
  <c r="T29" i="41"/>
  <c r="I29" i="41"/>
  <c r="D29" i="41"/>
  <c r="T28" i="41"/>
  <c r="I28" i="41"/>
  <c r="D28" i="41"/>
  <c r="T27" i="41"/>
  <c r="I27" i="41"/>
  <c r="D27" i="41"/>
  <c r="T26" i="41"/>
  <c r="I26" i="41"/>
  <c r="D26" i="41"/>
  <c r="T25" i="41"/>
  <c r="I25" i="41"/>
  <c r="D25" i="41"/>
  <c r="T24" i="41"/>
  <c r="I24" i="41"/>
  <c r="D24" i="41"/>
  <c r="T23" i="41"/>
  <c r="I23" i="41"/>
  <c r="D23" i="41"/>
  <c r="T22" i="41"/>
  <c r="I22" i="41"/>
  <c r="D22" i="41"/>
  <c r="T21" i="41"/>
  <c r="I21" i="41"/>
  <c r="D21" i="41"/>
  <c r="T20" i="41"/>
  <c r="I20" i="41"/>
  <c r="D20" i="41"/>
  <c r="T19" i="41"/>
  <c r="I19" i="41"/>
  <c r="D19" i="41"/>
  <c r="T18" i="41"/>
  <c r="I18" i="41"/>
  <c r="D18" i="41"/>
  <c r="T17" i="41"/>
  <c r="I17" i="41"/>
  <c r="D17" i="41"/>
  <c r="T16" i="41"/>
  <c r="I16" i="41"/>
  <c r="D16" i="41"/>
  <c r="T15" i="41"/>
  <c r="I15" i="41"/>
  <c r="D15" i="41"/>
  <c r="T14" i="41"/>
  <c r="I14" i="41"/>
  <c r="D14" i="41"/>
  <c r="T13" i="41"/>
  <c r="I13" i="41"/>
  <c r="D13" i="41"/>
  <c r="T12" i="41"/>
  <c r="I12" i="41"/>
  <c r="D12" i="41"/>
  <c r="T11" i="41"/>
  <c r="I11" i="41"/>
  <c r="D11" i="41"/>
  <c r="T10" i="41"/>
  <c r="I10" i="41"/>
  <c r="D10" i="41"/>
  <c r="T9" i="41"/>
  <c r="I9" i="41"/>
  <c r="D9" i="41"/>
  <c r="T8" i="41"/>
  <c r="I8" i="41"/>
  <c r="D8" i="41"/>
  <c r="Q7" i="41"/>
  <c r="I7" i="41"/>
  <c r="D7" i="41"/>
  <c r="H5" i="41"/>
  <c r="F5" i="41"/>
  <c r="H4" i="41"/>
  <c r="F4" i="41"/>
  <c r="H3" i="41"/>
  <c r="F3" i="41"/>
  <c r="H2" i="41"/>
  <c r="C2" i="41"/>
  <c r="T342" i="40"/>
  <c r="T341" i="40"/>
  <c r="T340" i="40"/>
  <c r="T339" i="40"/>
  <c r="T338" i="40"/>
  <c r="T337" i="40"/>
  <c r="T336" i="40"/>
  <c r="T335" i="40"/>
  <c r="T334" i="40"/>
  <c r="T333" i="40"/>
  <c r="T332" i="40"/>
  <c r="T331" i="40"/>
  <c r="T330" i="40"/>
  <c r="T329" i="40"/>
  <c r="T328" i="40"/>
  <c r="T327" i="40"/>
  <c r="T326" i="40"/>
  <c r="T325" i="40"/>
  <c r="T324" i="40"/>
  <c r="T323" i="40"/>
  <c r="T322" i="40"/>
  <c r="T321" i="40"/>
  <c r="T320" i="40"/>
  <c r="T319" i="40"/>
  <c r="T318" i="40"/>
  <c r="T317" i="40"/>
  <c r="T316" i="40"/>
  <c r="T315" i="40"/>
  <c r="T314" i="40"/>
  <c r="T313" i="40"/>
  <c r="T312" i="40"/>
  <c r="T311" i="40"/>
  <c r="T310" i="40"/>
  <c r="T309" i="40"/>
  <c r="T308" i="40"/>
  <c r="T307" i="40"/>
  <c r="T306" i="40"/>
  <c r="T305" i="40"/>
  <c r="T304" i="40"/>
  <c r="T303" i="40"/>
  <c r="T302" i="40"/>
  <c r="T301" i="40"/>
  <c r="T300" i="40"/>
  <c r="T299" i="40"/>
  <c r="T298" i="40"/>
  <c r="T297" i="40"/>
  <c r="T296" i="40"/>
  <c r="T295" i="40"/>
  <c r="T294" i="40"/>
  <c r="T293" i="40"/>
  <c r="T292" i="40"/>
  <c r="T291" i="40"/>
  <c r="T290" i="40"/>
  <c r="T289" i="40"/>
  <c r="T288" i="40"/>
  <c r="T287" i="40"/>
  <c r="T286" i="40"/>
  <c r="T285" i="40"/>
  <c r="T284" i="40"/>
  <c r="T283" i="40"/>
  <c r="T282" i="40"/>
  <c r="T281" i="40"/>
  <c r="T280" i="40"/>
  <c r="T279" i="40"/>
  <c r="T278" i="40"/>
  <c r="T277" i="40"/>
  <c r="T276" i="40"/>
  <c r="T275" i="40"/>
  <c r="T274" i="40"/>
  <c r="T273" i="40"/>
  <c r="T272" i="40"/>
  <c r="T271" i="40"/>
  <c r="T270" i="40"/>
  <c r="T269" i="40"/>
  <c r="T268" i="40"/>
  <c r="T267" i="40"/>
  <c r="T266" i="40"/>
  <c r="T265" i="40"/>
  <c r="T264" i="40"/>
  <c r="T263" i="40"/>
  <c r="T262" i="40"/>
  <c r="T261" i="40"/>
  <c r="T260" i="40"/>
  <c r="T259" i="40"/>
  <c r="T258" i="40"/>
  <c r="T257" i="40"/>
  <c r="T256" i="40"/>
  <c r="T255" i="40"/>
  <c r="T254" i="40"/>
  <c r="T253" i="40"/>
  <c r="T252" i="40"/>
  <c r="T251" i="40"/>
  <c r="T250" i="40"/>
  <c r="T249" i="40"/>
  <c r="T248" i="40"/>
  <c r="T247" i="40"/>
  <c r="T246" i="40"/>
  <c r="T245" i="40"/>
  <c r="T244" i="40"/>
  <c r="T243" i="40"/>
  <c r="T242" i="40"/>
  <c r="T241" i="40"/>
  <c r="T240" i="40"/>
  <c r="T239" i="40"/>
  <c r="T238" i="40"/>
  <c r="T237" i="40"/>
  <c r="T236" i="40"/>
  <c r="T235" i="40"/>
  <c r="T234" i="40"/>
  <c r="T233" i="40"/>
  <c r="T232" i="40"/>
  <c r="T231" i="40"/>
  <c r="T230" i="40"/>
  <c r="T229" i="40"/>
  <c r="T228" i="40"/>
  <c r="T227" i="40"/>
  <c r="T226" i="40"/>
  <c r="T225" i="40"/>
  <c r="T224" i="40"/>
  <c r="T223" i="40"/>
  <c r="T222" i="40"/>
  <c r="T221" i="40"/>
  <c r="T220" i="40"/>
  <c r="T219" i="40"/>
  <c r="T218" i="40"/>
  <c r="T217" i="40"/>
  <c r="T216" i="40"/>
  <c r="T215" i="40"/>
  <c r="T214" i="40"/>
  <c r="T213" i="40"/>
  <c r="T212" i="40"/>
  <c r="T211" i="40"/>
  <c r="T210" i="40"/>
  <c r="T209" i="40"/>
  <c r="T208" i="40"/>
  <c r="T207" i="40"/>
  <c r="T206" i="40"/>
  <c r="T205" i="40"/>
  <c r="T204" i="40"/>
  <c r="T203" i="40"/>
  <c r="T202" i="40"/>
  <c r="T201" i="40"/>
  <c r="T200" i="40"/>
  <c r="T199" i="40"/>
  <c r="T198" i="40"/>
  <c r="T197" i="40"/>
  <c r="T196" i="40"/>
  <c r="T195" i="40"/>
  <c r="T194" i="40"/>
  <c r="T193" i="40"/>
  <c r="T192" i="40"/>
  <c r="T191" i="40"/>
  <c r="T190" i="40"/>
  <c r="T189" i="40"/>
  <c r="T188" i="40"/>
  <c r="T187" i="40"/>
  <c r="T186" i="40"/>
  <c r="T185" i="40"/>
  <c r="T184" i="40"/>
  <c r="T183" i="40"/>
  <c r="T182" i="40"/>
  <c r="T181" i="40"/>
  <c r="T180" i="40"/>
  <c r="T179" i="40"/>
  <c r="T178" i="40"/>
  <c r="T177" i="40"/>
  <c r="T176" i="40"/>
  <c r="T175" i="40"/>
  <c r="T174" i="40"/>
  <c r="T173" i="40"/>
  <c r="T172" i="40"/>
  <c r="T171" i="40"/>
  <c r="T170" i="40"/>
  <c r="T169" i="40"/>
  <c r="T168" i="40"/>
  <c r="T167" i="40"/>
  <c r="T166" i="40"/>
  <c r="T165" i="40"/>
  <c r="T164" i="40"/>
  <c r="T163" i="40"/>
  <c r="T162" i="40"/>
  <c r="T161" i="40"/>
  <c r="T160" i="40"/>
  <c r="T159" i="40"/>
  <c r="T158" i="40"/>
  <c r="T157" i="40"/>
  <c r="T156" i="40"/>
  <c r="T155" i="40"/>
  <c r="T154" i="40"/>
  <c r="T153" i="40"/>
  <c r="T152" i="40"/>
  <c r="T151" i="40"/>
  <c r="T150" i="40"/>
  <c r="T149" i="40"/>
  <c r="T148" i="40"/>
  <c r="T147" i="40"/>
  <c r="T146" i="40"/>
  <c r="T145" i="40"/>
  <c r="T144" i="40"/>
  <c r="T143" i="40"/>
  <c r="T142" i="40"/>
  <c r="T141" i="40"/>
  <c r="T140" i="40"/>
  <c r="T139" i="40"/>
  <c r="T138" i="40"/>
  <c r="T137" i="40"/>
  <c r="T136" i="40"/>
  <c r="T135" i="40"/>
  <c r="T134" i="40"/>
  <c r="T133" i="40"/>
  <c r="T132" i="40"/>
  <c r="T131" i="40"/>
  <c r="T130" i="40"/>
  <c r="T129" i="40"/>
  <c r="T128" i="40"/>
  <c r="T127" i="40"/>
  <c r="T126" i="40"/>
  <c r="T125" i="40"/>
  <c r="T124" i="40"/>
  <c r="T123" i="40"/>
  <c r="T122" i="40"/>
  <c r="T121" i="40"/>
  <c r="T120" i="40"/>
  <c r="T119" i="40"/>
  <c r="T118" i="40"/>
  <c r="T117" i="40"/>
  <c r="T116" i="40"/>
  <c r="T115" i="40"/>
  <c r="T114" i="40"/>
  <c r="T113" i="40"/>
  <c r="T112" i="40"/>
  <c r="T111" i="40"/>
  <c r="T110" i="40"/>
  <c r="T109" i="40"/>
  <c r="T108" i="40"/>
  <c r="T107" i="40"/>
  <c r="T106" i="40"/>
  <c r="T105" i="40"/>
  <c r="T104" i="40"/>
  <c r="T103" i="40"/>
  <c r="T102" i="40"/>
  <c r="T101" i="40"/>
  <c r="T100" i="40"/>
  <c r="T99" i="40"/>
  <c r="T98" i="40"/>
  <c r="T97" i="40"/>
  <c r="T96" i="40"/>
  <c r="T95" i="40"/>
  <c r="T94" i="40"/>
  <c r="T93" i="40"/>
  <c r="T92" i="40"/>
  <c r="T91" i="40"/>
  <c r="T90" i="40"/>
  <c r="T89" i="40"/>
  <c r="T88" i="40"/>
  <c r="T87" i="40"/>
  <c r="T86" i="40"/>
  <c r="T85" i="40"/>
  <c r="T84" i="40"/>
  <c r="T83" i="40"/>
  <c r="T82" i="40"/>
  <c r="T81" i="40"/>
  <c r="T80" i="40"/>
  <c r="T79" i="40"/>
  <c r="T78" i="40"/>
  <c r="T77" i="40"/>
  <c r="T76" i="40"/>
  <c r="T75" i="40"/>
  <c r="T74" i="40"/>
  <c r="T73" i="40"/>
  <c r="T72" i="40"/>
  <c r="T71" i="40"/>
  <c r="T70" i="40"/>
  <c r="T69" i="40"/>
  <c r="T68" i="40"/>
  <c r="T67" i="40"/>
  <c r="T66" i="40"/>
  <c r="T65" i="40"/>
  <c r="T64" i="40"/>
  <c r="T63" i="40"/>
  <c r="T62" i="40"/>
  <c r="T61" i="40"/>
  <c r="T60" i="40"/>
  <c r="T59" i="40"/>
  <c r="T58" i="40"/>
  <c r="T57" i="40"/>
  <c r="T56" i="40"/>
  <c r="T55" i="40"/>
  <c r="T54" i="40"/>
  <c r="T53" i="40"/>
  <c r="F53" i="40"/>
  <c r="T52" i="40"/>
  <c r="T51" i="40"/>
  <c r="T50" i="40"/>
  <c r="T49" i="40"/>
  <c r="T48" i="40"/>
  <c r="I48" i="40"/>
  <c r="D48" i="40"/>
  <c r="T47" i="40"/>
  <c r="I47" i="40"/>
  <c r="D47" i="40"/>
  <c r="T46" i="40"/>
  <c r="I46" i="40"/>
  <c r="D46" i="40"/>
  <c r="T45" i="40"/>
  <c r="I45" i="40"/>
  <c r="D45" i="40"/>
  <c r="T44" i="40"/>
  <c r="I44" i="40"/>
  <c r="D44" i="40"/>
  <c r="T43" i="40"/>
  <c r="I43" i="40"/>
  <c r="D43" i="40"/>
  <c r="T42" i="40"/>
  <c r="I42" i="40"/>
  <c r="D42" i="40"/>
  <c r="T41" i="40"/>
  <c r="I41" i="40"/>
  <c r="D41" i="40"/>
  <c r="T40" i="40"/>
  <c r="I40" i="40"/>
  <c r="D40" i="40"/>
  <c r="T39" i="40"/>
  <c r="I39" i="40"/>
  <c r="D39" i="40"/>
  <c r="T38" i="40"/>
  <c r="I38" i="40"/>
  <c r="D38" i="40"/>
  <c r="T37" i="40"/>
  <c r="I37" i="40"/>
  <c r="D37" i="40"/>
  <c r="T36" i="40"/>
  <c r="I36" i="40"/>
  <c r="D36" i="40"/>
  <c r="T35" i="40"/>
  <c r="I35" i="40"/>
  <c r="D35" i="40"/>
  <c r="T34" i="40"/>
  <c r="I34" i="40"/>
  <c r="D34" i="40"/>
  <c r="T33" i="40"/>
  <c r="I33" i="40"/>
  <c r="D33" i="40"/>
  <c r="T32" i="40"/>
  <c r="I32" i="40"/>
  <c r="D32" i="40"/>
  <c r="T31" i="40"/>
  <c r="I31" i="40"/>
  <c r="D31" i="40"/>
  <c r="T30" i="40"/>
  <c r="I30" i="40"/>
  <c r="D30" i="40"/>
  <c r="T29" i="40"/>
  <c r="I29" i="40"/>
  <c r="D29" i="40"/>
  <c r="T28" i="40"/>
  <c r="I28" i="40"/>
  <c r="D28" i="40"/>
  <c r="T27" i="40"/>
  <c r="I27" i="40"/>
  <c r="D27" i="40"/>
  <c r="T26" i="40"/>
  <c r="I26" i="40"/>
  <c r="D26" i="40"/>
  <c r="T25" i="40"/>
  <c r="I25" i="40"/>
  <c r="D25" i="40"/>
  <c r="T24" i="40"/>
  <c r="I24" i="40"/>
  <c r="D24" i="40"/>
  <c r="T23" i="40"/>
  <c r="I23" i="40"/>
  <c r="D23" i="40"/>
  <c r="T22" i="40"/>
  <c r="I22" i="40"/>
  <c r="D22" i="40"/>
  <c r="T21" i="40"/>
  <c r="I21" i="40"/>
  <c r="D21" i="40"/>
  <c r="T20" i="40"/>
  <c r="I20" i="40"/>
  <c r="D20" i="40"/>
  <c r="T19" i="40"/>
  <c r="I19" i="40"/>
  <c r="D19" i="40"/>
  <c r="T18" i="40"/>
  <c r="I18" i="40"/>
  <c r="D18" i="40"/>
  <c r="T17" i="40"/>
  <c r="I17" i="40"/>
  <c r="D17" i="40"/>
  <c r="T16" i="40"/>
  <c r="I16" i="40"/>
  <c r="D16" i="40"/>
  <c r="T15" i="40"/>
  <c r="I15" i="40"/>
  <c r="D15" i="40"/>
  <c r="T14" i="40"/>
  <c r="I14" i="40"/>
  <c r="D14" i="40"/>
  <c r="T13" i="40"/>
  <c r="I13" i="40"/>
  <c r="D13" i="40"/>
  <c r="T12" i="40"/>
  <c r="I12" i="40"/>
  <c r="D12" i="40"/>
  <c r="T11" i="40"/>
  <c r="I11" i="40"/>
  <c r="D11" i="40"/>
  <c r="T10" i="40"/>
  <c r="I10" i="40"/>
  <c r="D10" i="40"/>
  <c r="T9" i="40"/>
  <c r="I9" i="40"/>
  <c r="D9" i="40"/>
  <c r="T8" i="40"/>
  <c r="I8" i="40"/>
  <c r="D8" i="40"/>
  <c r="Q7" i="40"/>
  <c r="I7" i="40"/>
  <c r="D7" i="40"/>
  <c r="H5" i="40"/>
  <c r="F5" i="40"/>
  <c r="H4" i="40"/>
  <c r="F4" i="40"/>
  <c r="H3" i="40"/>
  <c r="F3" i="40"/>
  <c r="H2" i="40"/>
  <c r="C2" i="40"/>
  <c r="T342" i="39"/>
  <c r="T341" i="39"/>
  <c r="T340" i="39"/>
  <c r="T339" i="39"/>
  <c r="T338" i="39"/>
  <c r="T337" i="39"/>
  <c r="T336" i="39"/>
  <c r="T335" i="39"/>
  <c r="T334" i="39"/>
  <c r="T333" i="39"/>
  <c r="T332" i="39"/>
  <c r="T331" i="39"/>
  <c r="T330" i="39"/>
  <c r="T329" i="39"/>
  <c r="T328" i="39"/>
  <c r="T327" i="39"/>
  <c r="T326" i="39"/>
  <c r="T325" i="39"/>
  <c r="T324" i="39"/>
  <c r="T323" i="39"/>
  <c r="T322" i="39"/>
  <c r="T321" i="39"/>
  <c r="T320" i="39"/>
  <c r="T319" i="39"/>
  <c r="T318" i="39"/>
  <c r="T317" i="39"/>
  <c r="T316" i="39"/>
  <c r="T315" i="39"/>
  <c r="T314" i="39"/>
  <c r="T313" i="39"/>
  <c r="T312" i="39"/>
  <c r="T311" i="39"/>
  <c r="T310" i="39"/>
  <c r="T309" i="39"/>
  <c r="T308" i="39"/>
  <c r="T307" i="39"/>
  <c r="T306" i="39"/>
  <c r="T305" i="39"/>
  <c r="T304" i="39"/>
  <c r="T303" i="39"/>
  <c r="T302" i="39"/>
  <c r="T301" i="39"/>
  <c r="T300" i="39"/>
  <c r="T299" i="39"/>
  <c r="T298" i="39"/>
  <c r="T297" i="39"/>
  <c r="T296" i="39"/>
  <c r="T295" i="39"/>
  <c r="T294" i="39"/>
  <c r="T293" i="39"/>
  <c r="T292" i="39"/>
  <c r="T291" i="39"/>
  <c r="T290" i="39"/>
  <c r="T289" i="39"/>
  <c r="T288" i="39"/>
  <c r="T287" i="39"/>
  <c r="T286" i="39"/>
  <c r="T285" i="39"/>
  <c r="T284" i="39"/>
  <c r="T283" i="39"/>
  <c r="T282" i="39"/>
  <c r="T281" i="39"/>
  <c r="T280" i="39"/>
  <c r="T279" i="39"/>
  <c r="T278" i="39"/>
  <c r="T277" i="39"/>
  <c r="T276" i="39"/>
  <c r="T275" i="39"/>
  <c r="T274" i="39"/>
  <c r="T273" i="39"/>
  <c r="T272" i="39"/>
  <c r="T271" i="39"/>
  <c r="T270" i="39"/>
  <c r="T269" i="39"/>
  <c r="T268" i="39"/>
  <c r="T267" i="39"/>
  <c r="T266" i="39"/>
  <c r="T265" i="39"/>
  <c r="T264" i="39"/>
  <c r="T263" i="39"/>
  <c r="T262" i="39"/>
  <c r="T261" i="39"/>
  <c r="T260" i="39"/>
  <c r="T259" i="39"/>
  <c r="T258" i="39"/>
  <c r="T257" i="39"/>
  <c r="T256" i="39"/>
  <c r="T255" i="39"/>
  <c r="T254" i="39"/>
  <c r="T253" i="39"/>
  <c r="T252" i="39"/>
  <c r="T251" i="39"/>
  <c r="T250" i="39"/>
  <c r="T249" i="39"/>
  <c r="T248" i="39"/>
  <c r="T247" i="39"/>
  <c r="T246" i="39"/>
  <c r="T245" i="39"/>
  <c r="T244" i="39"/>
  <c r="T243" i="39"/>
  <c r="T242" i="39"/>
  <c r="T241" i="39"/>
  <c r="T240" i="39"/>
  <c r="T239" i="39"/>
  <c r="T238" i="39"/>
  <c r="T237" i="39"/>
  <c r="T236" i="39"/>
  <c r="T235" i="39"/>
  <c r="T234" i="39"/>
  <c r="T233" i="39"/>
  <c r="T232" i="39"/>
  <c r="T231" i="39"/>
  <c r="T230" i="39"/>
  <c r="T229" i="39"/>
  <c r="T228" i="39"/>
  <c r="T227" i="39"/>
  <c r="T226" i="39"/>
  <c r="T225" i="39"/>
  <c r="T224" i="39"/>
  <c r="T223" i="39"/>
  <c r="T222" i="39"/>
  <c r="T221" i="39"/>
  <c r="T220" i="39"/>
  <c r="T219" i="39"/>
  <c r="T218" i="39"/>
  <c r="T217" i="39"/>
  <c r="T216" i="39"/>
  <c r="T215" i="39"/>
  <c r="T214" i="39"/>
  <c r="T213" i="39"/>
  <c r="T212" i="39"/>
  <c r="T211" i="39"/>
  <c r="T210" i="39"/>
  <c r="T209" i="39"/>
  <c r="T208" i="39"/>
  <c r="T207" i="39"/>
  <c r="T206" i="39"/>
  <c r="T205" i="39"/>
  <c r="T204" i="39"/>
  <c r="T203" i="39"/>
  <c r="T202" i="39"/>
  <c r="T201" i="39"/>
  <c r="T200" i="39"/>
  <c r="T199" i="39"/>
  <c r="T198" i="39"/>
  <c r="T197" i="39"/>
  <c r="T196" i="39"/>
  <c r="T195" i="39"/>
  <c r="T194" i="39"/>
  <c r="T193" i="39"/>
  <c r="T192" i="39"/>
  <c r="T191" i="39"/>
  <c r="T190" i="39"/>
  <c r="T189" i="39"/>
  <c r="T188" i="39"/>
  <c r="T187" i="39"/>
  <c r="T186" i="39"/>
  <c r="T185" i="39"/>
  <c r="T184" i="39"/>
  <c r="T183" i="39"/>
  <c r="T182" i="39"/>
  <c r="T181" i="39"/>
  <c r="T180" i="39"/>
  <c r="T179" i="39"/>
  <c r="T178" i="39"/>
  <c r="T177" i="39"/>
  <c r="T176" i="39"/>
  <c r="T175" i="39"/>
  <c r="T174" i="39"/>
  <c r="T173" i="39"/>
  <c r="T172" i="39"/>
  <c r="T171" i="39"/>
  <c r="T170" i="39"/>
  <c r="T169" i="39"/>
  <c r="T168" i="39"/>
  <c r="T167" i="39"/>
  <c r="T166" i="39"/>
  <c r="T165" i="39"/>
  <c r="T164" i="39"/>
  <c r="T163" i="39"/>
  <c r="T162" i="39"/>
  <c r="T161" i="39"/>
  <c r="T160" i="39"/>
  <c r="T159" i="39"/>
  <c r="T158" i="39"/>
  <c r="T157" i="39"/>
  <c r="T156" i="39"/>
  <c r="T155" i="39"/>
  <c r="T154" i="39"/>
  <c r="T153" i="39"/>
  <c r="T152" i="39"/>
  <c r="T151" i="39"/>
  <c r="T150" i="39"/>
  <c r="T149" i="39"/>
  <c r="T148" i="39"/>
  <c r="T147" i="39"/>
  <c r="T146" i="39"/>
  <c r="T145" i="39"/>
  <c r="T144" i="39"/>
  <c r="T143" i="39"/>
  <c r="T142" i="39"/>
  <c r="T141" i="39"/>
  <c r="T140" i="39"/>
  <c r="T139" i="39"/>
  <c r="T138" i="39"/>
  <c r="T137" i="39"/>
  <c r="T136" i="39"/>
  <c r="T135" i="39"/>
  <c r="T134" i="39"/>
  <c r="T133" i="39"/>
  <c r="T132" i="39"/>
  <c r="T131" i="39"/>
  <c r="T130" i="39"/>
  <c r="T129" i="39"/>
  <c r="T128" i="39"/>
  <c r="T127" i="39"/>
  <c r="T126" i="39"/>
  <c r="T125" i="39"/>
  <c r="T124" i="39"/>
  <c r="T123" i="39"/>
  <c r="T122" i="39"/>
  <c r="T121" i="39"/>
  <c r="T120" i="39"/>
  <c r="T119" i="39"/>
  <c r="T118" i="39"/>
  <c r="T117" i="39"/>
  <c r="T116" i="39"/>
  <c r="T115" i="39"/>
  <c r="T114" i="39"/>
  <c r="T113" i="39"/>
  <c r="T112" i="39"/>
  <c r="T111" i="39"/>
  <c r="T110" i="39"/>
  <c r="T109" i="39"/>
  <c r="T108" i="39"/>
  <c r="T107" i="39"/>
  <c r="T106" i="39"/>
  <c r="T105" i="39"/>
  <c r="T104" i="39"/>
  <c r="T103" i="39"/>
  <c r="T102" i="39"/>
  <c r="T101" i="39"/>
  <c r="T100" i="39"/>
  <c r="T99" i="39"/>
  <c r="T98" i="39"/>
  <c r="T97" i="39"/>
  <c r="T96" i="39"/>
  <c r="T95" i="39"/>
  <c r="T94" i="39"/>
  <c r="T93" i="39"/>
  <c r="T92" i="39"/>
  <c r="T91" i="39"/>
  <c r="T90" i="39"/>
  <c r="T89" i="39"/>
  <c r="T88" i="39"/>
  <c r="T87" i="39"/>
  <c r="T86" i="39"/>
  <c r="T85" i="39"/>
  <c r="T84" i="39"/>
  <c r="T83" i="39"/>
  <c r="T82" i="39"/>
  <c r="T81" i="39"/>
  <c r="T80" i="39"/>
  <c r="T79" i="39"/>
  <c r="T78" i="39"/>
  <c r="T77" i="39"/>
  <c r="T76" i="39"/>
  <c r="T75" i="39"/>
  <c r="T74" i="39"/>
  <c r="T73" i="39"/>
  <c r="T72" i="39"/>
  <c r="T71" i="39"/>
  <c r="T70" i="39"/>
  <c r="T69" i="39"/>
  <c r="T68" i="39"/>
  <c r="T67" i="39"/>
  <c r="T66" i="39"/>
  <c r="T65" i="39"/>
  <c r="T64" i="39"/>
  <c r="T63" i="39"/>
  <c r="T62" i="39"/>
  <c r="T61" i="39"/>
  <c r="T60" i="39"/>
  <c r="T59" i="39"/>
  <c r="T58" i="39"/>
  <c r="T57" i="39"/>
  <c r="T56" i="39"/>
  <c r="T55" i="39"/>
  <c r="T54" i="39"/>
  <c r="T53" i="39"/>
  <c r="F53" i="39"/>
  <c r="T52" i="39"/>
  <c r="T51" i="39"/>
  <c r="T50" i="39"/>
  <c r="T49" i="39"/>
  <c r="T48" i="39"/>
  <c r="I48" i="39"/>
  <c r="D48" i="39"/>
  <c r="T47" i="39"/>
  <c r="I47" i="39"/>
  <c r="D47" i="39"/>
  <c r="T46" i="39"/>
  <c r="I46" i="39"/>
  <c r="D46" i="39"/>
  <c r="T45" i="39"/>
  <c r="I45" i="39"/>
  <c r="D45" i="39"/>
  <c r="T44" i="39"/>
  <c r="I44" i="39"/>
  <c r="D44" i="39"/>
  <c r="T43" i="39"/>
  <c r="I43" i="39"/>
  <c r="D43" i="39"/>
  <c r="T42" i="39"/>
  <c r="I42" i="39"/>
  <c r="D42" i="39"/>
  <c r="T41" i="39"/>
  <c r="I41" i="39"/>
  <c r="D41" i="39"/>
  <c r="T40" i="39"/>
  <c r="I40" i="39"/>
  <c r="D40" i="39"/>
  <c r="T39" i="39"/>
  <c r="I39" i="39"/>
  <c r="D39" i="39"/>
  <c r="T38" i="39"/>
  <c r="I38" i="39"/>
  <c r="D38" i="39"/>
  <c r="T37" i="39"/>
  <c r="I37" i="39"/>
  <c r="D37" i="39"/>
  <c r="T36" i="39"/>
  <c r="I36" i="39"/>
  <c r="D36" i="39"/>
  <c r="T35" i="39"/>
  <c r="I35" i="39"/>
  <c r="D35" i="39"/>
  <c r="T34" i="39"/>
  <c r="I34" i="39"/>
  <c r="D34" i="39"/>
  <c r="T33" i="39"/>
  <c r="I33" i="39"/>
  <c r="D33" i="39"/>
  <c r="T32" i="39"/>
  <c r="I32" i="39"/>
  <c r="D32" i="39"/>
  <c r="T31" i="39"/>
  <c r="I31" i="39"/>
  <c r="D31" i="39"/>
  <c r="T30" i="39"/>
  <c r="I30" i="39"/>
  <c r="D30" i="39"/>
  <c r="T29" i="39"/>
  <c r="I29" i="39"/>
  <c r="D29" i="39"/>
  <c r="T28" i="39"/>
  <c r="I28" i="39"/>
  <c r="D28" i="39"/>
  <c r="T27" i="39"/>
  <c r="I27" i="39"/>
  <c r="D27" i="39"/>
  <c r="T26" i="39"/>
  <c r="I26" i="39"/>
  <c r="D26" i="39"/>
  <c r="T25" i="39"/>
  <c r="I25" i="39"/>
  <c r="D25" i="39"/>
  <c r="T24" i="39"/>
  <c r="I24" i="39"/>
  <c r="D24" i="39"/>
  <c r="T23" i="39"/>
  <c r="I23" i="39"/>
  <c r="D23" i="39"/>
  <c r="T22" i="39"/>
  <c r="I22" i="39"/>
  <c r="D22" i="39"/>
  <c r="T21" i="39"/>
  <c r="I21" i="39"/>
  <c r="D21" i="39"/>
  <c r="T20" i="39"/>
  <c r="I20" i="39"/>
  <c r="D20" i="39"/>
  <c r="T19" i="39"/>
  <c r="I19" i="39"/>
  <c r="D19" i="39"/>
  <c r="T18" i="39"/>
  <c r="I18" i="39"/>
  <c r="D18" i="39"/>
  <c r="T17" i="39"/>
  <c r="I17" i="39"/>
  <c r="D17" i="39"/>
  <c r="T16" i="39"/>
  <c r="I16" i="39"/>
  <c r="D16" i="39"/>
  <c r="T15" i="39"/>
  <c r="I15" i="39"/>
  <c r="D15" i="39"/>
  <c r="T14" i="39"/>
  <c r="I14" i="39"/>
  <c r="D14" i="39"/>
  <c r="T13" i="39"/>
  <c r="I13" i="39"/>
  <c r="D13" i="39"/>
  <c r="T12" i="39"/>
  <c r="I12" i="39"/>
  <c r="D12" i="39"/>
  <c r="T11" i="39"/>
  <c r="I11" i="39"/>
  <c r="D11" i="39"/>
  <c r="T10" i="39"/>
  <c r="I10" i="39"/>
  <c r="D10" i="39"/>
  <c r="T9" i="39"/>
  <c r="I9" i="39"/>
  <c r="D9" i="39"/>
  <c r="T8" i="39"/>
  <c r="I8" i="39"/>
  <c r="D8" i="39"/>
  <c r="Q7" i="39"/>
  <c r="I7" i="39"/>
  <c r="D7" i="39"/>
  <c r="H5" i="39"/>
  <c r="F5" i="39"/>
  <c r="H4" i="39"/>
  <c r="F4" i="39"/>
  <c r="H3" i="39"/>
  <c r="F3" i="39"/>
  <c r="H2" i="39"/>
  <c r="C2" i="39"/>
  <c r="T342" i="38"/>
  <c r="T341" i="38"/>
  <c r="T340" i="38"/>
  <c r="T339" i="38"/>
  <c r="T338" i="38"/>
  <c r="T337" i="38"/>
  <c r="T336" i="38"/>
  <c r="T335" i="38"/>
  <c r="T334" i="38"/>
  <c r="T333" i="38"/>
  <c r="T332" i="38"/>
  <c r="T331" i="38"/>
  <c r="T330" i="38"/>
  <c r="T329" i="38"/>
  <c r="T328" i="38"/>
  <c r="T327" i="38"/>
  <c r="T326" i="38"/>
  <c r="T325" i="38"/>
  <c r="T324" i="38"/>
  <c r="T323" i="38"/>
  <c r="T322" i="38"/>
  <c r="T321" i="38"/>
  <c r="T320" i="38"/>
  <c r="T319" i="38"/>
  <c r="T318" i="38"/>
  <c r="T317" i="38"/>
  <c r="T316" i="38"/>
  <c r="T315" i="38"/>
  <c r="T314" i="38"/>
  <c r="T313" i="38"/>
  <c r="T312" i="38"/>
  <c r="T311" i="38"/>
  <c r="T310" i="38"/>
  <c r="T309" i="38"/>
  <c r="T308" i="38"/>
  <c r="T307" i="38"/>
  <c r="T306" i="38"/>
  <c r="T305" i="38"/>
  <c r="T304" i="38"/>
  <c r="T303" i="38"/>
  <c r="T302" i="38"/>
  <c r="T301" i="38"/>
  <c r="T300" i="38"/>
  <c r="T299" i="38"/>
  <c r="T298" i="38"/>
  <c r="T297" i="38"/>
  <c r="T296" i="38"/>
  <c r="T295" i="38"/>
  <c r="T294" i="38"/>
  <c r="T293" i="38"/>
  <c r="T292" i="38"/>
  <c r="T291" i="38"/>
  <c r="T290" i="38"/>
  <c r="T289" i="38"/>
  <c r="T288" i="38"/>
  <c r="T287" i="38"/>
  <c r="T286" i="38"/>
  <c r="T285" i="38"/>
  <c r="T284" i="38"/>
  <c r="T283" i="38"/>
  <c r="T282" i="38"/>
  <c r="T281" i="38"/>
  <c r="T280" i="38"/>
  <c r="T279" i="38"/>
  <c r="T278" i="38"/>
  <c r="T277" i="38"/>
  <c r="T276" i="38"/>
  <c r="T275" i="38"/>
  <c r="T274" i="38"/>
  <c r="T273" i="38"/>
  <c r="T272" i="38"/>
  <c r="T271" i="38"/>
  <c r="T270" i="38"/>
  <c r="T269" i="38"/>
  <c r="T268" i="38"/>
  <c r="T267" i="38"/>
  <c r="T266" i="38"/>
  <c r="T265" i="38"/>
  <c r="T264" i="38"/>
  <c r="T263" i="38"/>
  <c r="T262" i="38"/>
  <c r="T261" i="38"/>
  <c r="T260" i="38"/>
  <c r="T259" i="38"/>
  <c r="T258" i="38"/>
  <c r="T257" i="38"/>
  <c r="T256" i="38"/>
  <c r="T255" i="38"/>
  <c r="T254" i="38"/>
  <c r="T253" i="38"/>
  <c r="T252" i="38"/>
  <c r="T251" i="38"/>
  <c r="T250" i="38"/>
  <c r="T249" i="38"/>
  <c r="T248" i="38"/>
  <c r="T247" i="38"/>
  <c r="T246" i="38"/>
  <c r="T245" i="38"/>
  <c r="T244" i="38"/>
  <c r="T243" i="38"/>
  <c r="T242" i="38"/>
  <c r="T241" i="38"/>
  <c r="T240" i="38"/>
  <c r="T239" i="38"/>
  <c r="T238" i="38"/>
  <c r="T237" i="38"/>
  <c r="T236" i="38"/>
  <c r="T235" i="38"/>
  <c r="T234" i="38"/>
  <c r="T233" i="38"/>
  <c r="T232" i="38"/>
  <c r="T231" i="38"/>
  <c r="T230" i="38"/>
  <c r="T229" i="38"/>
  <c r="T228" i="38"/>
  <c r="T227" i="38"/>
  <c r="T226" i="38"/>
  <c r="T225" i="38"/>
  <c r="T224" i="38"/>
  <c r="T223" i="38"/>
  <c r="T222" i="38"/>
  <c r="T221" i="38"/>
  <c r="T220" i="38"/>
  <c r="T219" i="38"/>
  <c r="T218" i="38"/>
  <c r="T217" i="38"/>
  <c r="T216" i="38"/>
  <c r="T215" i="38"/>
  <c r="T214" i="38"/>
  <c r="T213" i="38"/>
  <c r="T212" i="38"/>
  <c r="T211" i="38"/>
  <c r="T210" i="38"/>
  <c r="T209" i="38"/>
  <c r="T208" i="38"/>
  <c r="T207" i="38"/>
  <c r="T206" i="38"/>
  <c r="T205" i="38"/>
  <c r="T204" i="38"/>
  <c r="T203" i="38"/>
  <c r="T202" i="38"/>
  <c r="T201" i="38"/>
  <c r="T200" i="38"/>
  <c r="T199" i="38"/>
  <c r="T198" i="38"/>
  <c r="T197" i="38"/>
  <c r="T196" i="38"/>
  <c r="T195" i="38"/>
  <c r="T194" i="38"/>
  <c r="T193" i="38"/>
  <c r="T192" i="38"/>
  <c r="T191" i="38"/>
  <c r="T190" i="38"/>
  <c r="T189" i="38"/>
  <c r="T188" i="38"/>
  <c r="T187" i="38"/>
  <c r="T186" i="38"/>
  <c r="T185" i="38"/>
  <c r="T184" i="38"/>
  <c r="T183" i="38"/>
  <c r="T182" i="38"/>
  <c r="T181" i="38"/>
  <c r="T180" i="38"/>
  <c r="T179" i="38"/>
  <c r="T178" i="38"/>
  <c r="T177" i="38"/>
  <c r="T176" i="38"/>
  <c r="T175" i="38"/>
  <c r="T174" i="38"/>
  <c r="T173" i="38"/>
  <c r="T172" i="38"/>
  <c r="T171" i="38"/>
  <c r="T170" i="38"/>
  <c r="T169" i="38"/>
  <c r="T168" i="38"/>
  <c r="T167" i="38"/>
  <c r="T166" i="38"/>
  <c r="T165" i="38"/>
  <c r="T164" i="38"/>
  <c r="T163" i="38"/>
  <c r="T162" i="38"/>
  <c r="T161" i="38"/>
  <c r="T160" i="38"/>
  <c r="T159" i="38"/>
  <c r="T158" i="38"/>
  <c r="T157" i="38"/>
  <c r="T156" i="38"/>
  <c r="T155" i="38"/>
  <c r="T154" i="38"/>
  <c r="T153" i="38"/>
  <c r="T152" i="38"/>
  <c r="T151" i="38"/>
  <c r="T150" i="38"/>
  <c r="T149" i="38"/>
  <c r="T148" i="38"/>
  <c r="T147" i="38"/>
  <c r="T146" i="38"/>
  <c r="T145" i="38"/>
  <c r="T144" i="38"/>
  <c r="T143" i="38"/>
  <c r="T142" i="38"/>
  <c r="T141" i="38"/>
  <c r="T140" i="38"/>
  <c r="T139" i="38"/>
  <c r="T138" i="38"/>
  <c r="T137" i="38"/>
  <c r="T136" i="38"/>
  <c r="T135" i="38"/>
  <c r="T134" i="38"/>
  <c r="T133" i="38"/>
  <c r="T132" i="38"/>
  <c r="T131" i="38"/>
  <c r="T130" i="38"/>
  <c r="T129" i="38"/>
  <c r="T128" i="38"/>
  <c r="T127" i="38"/>
  <c r="T126" i="38"/>
  <c r="T125" i="38"/>
  <c r="T124" i="38"/>
  <c r="T123" i="38"/>
  <c r="T122" i="38"/>
  <c r="T121" i="38"/>
  <c r="T120" i="38"/>
  <c r="T119" i="38"/>
  <c r="T118" i="38"/>
  <c r="T117" i="38"/>
  <c r="T116" i="38"/>
  <c r="T115" i="38"/>
  <c r="T114" i="38"/>
  <c r="T113" i="38"/>
  <c r="T112" i="38"/>
  <c r="T111" i="38"/>
  <c r="T110" i="38"/>
  <c r="T109" i="38"/>
  <c r="T108" i="38"/>
  <c r="T107" i="38"/>
  <c r="T106" i="38"/>
  <c r="T105" i="38"/>
  <c r="T104" i="38"/>
  <c r="T103" i="38"/>
  <c r="T102" i="38"/>
  <c r="T101" i="38"/>
  <c r="T100" i="38"/>
  <c r="T99" i="38"/>
  <c r="T98" i="38"/>
  <c r="T97" i="38"/>
  <c r="T96" i="38"/>
  <c r="T95" i="38"/>
  <c r="T94" i="38"/>
  <c r="T93" i="38"/>
  <c r="T92" i="38"/>
  <c r="T91" i="38"/>
  <c r="T90" i="38"/>
  <c r="T89" i="38"/>
  <c r="T88" i="38"/>
  <c r="T87" i="38"/>
  <c r="T86" i="38"/>
  <c r="T85" i="38"/>
  <c r="T84" i="38"/>
  <c r="T83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T66" i="38"/>
  <c r="T65" i="38"/>
  <c r="T64" i="38"/>
  <c r="T63" i="38"/>
  <c r="T62" i="38"/>
  <c r="T61" i="38"/>
  <c r="T60" i="38"/>
  <c r="T59" i="38"/>
  <c r="T58" i="38"/>
  <c r="T57" i="38"/>
  <c r="T56" i="38"/>
  <c r="T55" i="38"/>
  <c r="T54" i="38"/>
  <c r="T53" i="38"/>
  <c r="F53" i="38"/>
  <c r="T52" i="38"/>
  <c r="T51" i="38"/>
  <c r="T50" i="38"/>
  <c r="T49" i="38"/>
  <c r="T48" i="38"/>
  <c r="I48" i="38"/>
  <c r="D48" i="38"/>
  <c r="T47" i="38"/>
  <c r="I47" i="38"/>
  <c r="D47" i="38"/>
  <c r="T46" i="38"/>
  <c r="I46" i="38"/>
  <c r="D46" i="38"/>
  <c r="T45" i="38"/>
  <c r="I45" i="38"/>
  <c r="D45" i="38"/>
  <c r="T44" i="38"/>
  <c r="I44" i="38"/>
  <c r="D44" i="38"/>
  <c r="T43" i="38"/>
  <c r="I43" i="38"/>
  <c r="D43" i="38"/>
  <c r="T42" i="38"/>
  <c r="I42" i="38"/>
  <c r="D42" i="38"/>
  <c r="T41" i="38"/>
  <c r="I41" i="38"/>
  <c r="D41" i="38"/>
  <c r="T40" i="38"/>
  <c r="I40" i="38"/>
  <c r="D40" i="38"/>
  <c r="T39" i="38"/>
  <c r="I39" i="38"/>
  <c r="D39" i="38"/>
  <c r="T38" i="38"/>
  <c r="I38" i="38"/>
  <c r="D38" i="38"/>
  <c r="T37" i="38"/>
  <c r="I37" i="38"/>
  <c r="D37" i="38"/>
  <c r="T36" i="38"/>
  <c r="I36" i="38"/>
  <c r="D36" i="38"/>
  <c r="T35" i="38"/>
  <c r="I35" i="38"/>
  <c r="D35" i="38"/>
  <c r="T34" i="38"/>
  <c r="I34" i="38"/>
  <c r="D34" i="38"/>
  <c r="T33" i="38"/>
  <c r="I33" i="38"/>
  <c r="D33" i="38"/>
  <c r="T32" i="38"/>
  <c r="I32" i="38"/>
  <c r="D32" i="38"/>
  <c r="T31" i="38"/>
  <c r="I31" i="38"/>
  <c r="D31" i="38"/>
  <c r="T30" i="38"/>
  <c r="I30" i="38"/>
  <c r="D30" i="38"/>
  <c r="T29" i="38"/>
  <c r="I29" i="38"/>
  <c r="D29" i="38"/>
  <c r="T28" i="38"/>
  <c r="I28" i="38"/>
  <c r="D28" i="38"/>
  <c r="T27" i="38"/>
  <c r="I27" i="38"/>
  <c r="D27" i="38"/>
  <c r="T26" i="38"/>
  <c r="I26" i="38"/>
  <c r="D26" i="38"/>
  <c r="T25" i="38"/>
  <c r="I25" i="38"/>
  <c r="D25" i="38"/>
  <c r="T24" i="38"/>
  <c r="I24" i="38"/>
  <c r="D24" i="38"/>
  <c r="T23" i="38"/>
  <c r="I23" i="38"/>
  <c r="D23" i="38"/>
  <c r="T22" i="38"/>
  <c r="I22" i="38"/>
  <c r="D22" i="38"/>
  <c r="T21" i="38"/>
  <c r="I21" i="38"/>
  <c r="D21" i="38"/>
  <c r="T20" i="38"/>
  <c r="I20" i="38"/>
  <c r="D20" i="38"/>
  <c r="T19" i="38"/>
  <c r="I19" i="38"/>
  <c r="D19" i="38"/>
  <c r="T18" i="38"/>
  <c r="I18" i="38"/>
  <c r="D18" i="38"/>
  <c r="T17" i="38"/>
  <c r="I17" i="38"/>
  <c r="D17" i="38"/>
  <c r="T16" i="38"/>
  <c r="I16" i="38"/>
  <c r="D16" i="38"/>
  <c r="T15" i="38"/>
  <c r="I15" i="38"/>
  <c r="D15" i="38"/>
  <c r="T14" i="38"/>
  <c r="I14" i="38"/>
  <c r="D14" i="38"/>
  <c r="T13" i="38"/>
  <c r="I13" i="38"/>
  <c r="D13" i="38"/>
  <c r="T12" i="38"/>
  <c r="I12" i="38"/>
  <c r="D12" i="38"/>
  <c r="T11" i="38"/>
  <c r="I11" i="38"/>
  <c r="D11" i="38"/>
  <c r="T10" i="38"/>
  <c r="I10" i="38"/>
  <c r="D10" i="38"/>
  <c r="T9" i="38"/>
  <c r="I9" i="38"/>
  <c r="D9" i="38"/>
  <c r="T8" i="38"/>
  <c r="I8" i="38"/>
  <c r="D8" i="38"/>
  <c r="Q7" i="38"/>
  <c r="I7" i="38"/>
  <c r="D7" i="38"/>
  <c r="H5" i="38"/>
  <c r="F5" i="38"/>
  <c r="H4" i="38"/>
  <c r="F4" i="38"/>
  <c r="H3" i="38"/>
  <c r="F3" i="38"/>
  <c r="H2" i="38"/>
  <c r="C2" i="38"/>
  <c r="T342" i="37"/>
  <c r="T341" i="37"/>
  <c r="T340" i="37"/>
  <c r="T339" i="37"/>
  <c r="T338" i="37"/>
  <c r="T337" i="37"/>
  <c r="T336" i="37"/>
  <c r="T335" i="37"/>
  <c r="T334" i="37"/>
  <c r="T333" i="37"/>
  <c r="T332" i="37"/>
  <c r="T331" i="37"/>
  <c r="T330" i="37"/>
  <c r="T329" i="37"/>
  <c r="T328" i="37"/>
  <c r="T327" i="37"/>
  <c r="T326" i="37"/>
  <c r="T325" i="37"/>
  <c r="T324" i="37"/>
  <c r="T323" i="37"/>
  <c r="T322" i="37"/>
  <c r="T321" i="37"/>
  <c r="T320" i="37"/>
  <c r="T319" i="37"/>
  <c r="T318" i="37"/>
  <c r="T317" i="37"/>
  <c r="T316" i="37"/>
  <c r="T315" i="37"/>
  <c r="T314" i="37"/>
  <c r="T313" i="37"/>
  <c r="T312" i="37"/>
  <c r="T311" i="37"/>
  <c r="T310" i="37"/>
  <c r="T309" i="37"/>
  <c r="T308" i="37"/>
  <c r="T307" i="37"/>
  <c r="T306" i="37"/>
  <c r="T305" i="37"/>
  <c r="T304" i="37"/>
  <c r="T303" i="37"/>
  <c r="T302" i="37"/>
  <c r="T301" i="37"/>
  <c r="T300" i="37"/>
  <c r="T299" i="37"/>
  <c r="T298" i="37"/>
  <c r="T297" i="37"/>
  <c r="T296" i="37"/>
  <c r="T295" i="37"/>
  <c r="T294" i="37"/>
  <c r="T293" i="37"/>
  <c r="T292" i="37"/>
  <c r="T291" i="37"/>
  <c r="T290" i="37"/>
  <c r="T289" i="37"/>
  <c r="T288" i="37"/>
  <c r="T287" i="37"/>
  <c r="T286" i="37"/>
  <c r="T285" i="37"/>
  <c r="T284" i="37"/>
  <c r="T283" i="37"/>
  <c r="T282" i="37"/>
  <c r="T281" i="37"/>
  <c r="T280" i="37"/>
  <c r="T279" i="37"/>
  <c r="T278" i="37"/>
  <c r="T277" i="37"/>
  <c r="T276" i="37"/>
  <c r="T275" i="37"/>
  <c r="T274" i="37"/>
  <c r="T273" i="37"/>
  <c r="T272" i="37"/>
  <c r="T271" i="37"/>
  <c r="T270" i="37"/>
  <c r="T269" i="37"/>
  <c r="T268" i="37"/>
  <c r="T267" i="37"/>
  <c r="T266" i="37"/>
  <c r="T265" i="37"/>
  <c r="T264" i="37"/>
  <c r="T263" i="37"/>
  <c r="T262" i="37"/>
  <c r="T261" i="37"/>
  <c r="T260" i="37"/>
  <c r="T259" i="37"/>
  <c r="T258" i="37"/>
  <c r="T257" i="37"/>
  <c r="T256" i="37"/>
  <c r="T255" i="37"/>
  <c r="T254" i="37"/>
  <c r="T253" i="37"/>
  <c r="T252" i="37"/>
  <c r="T251" i="37"/>
  <c r="T250" i="37"/>
  <c r="T249" i="37"/>
  <c r="T248" i="37"/>
  <c r="T247" i="37"/>
  <c r="T246" i="37"/>
  <c r="T245" i="37"/>
  <c r="T244" i="37"/>
  <c r="T243" i="37"/>
  <c r="T242" i="37"/>
  <c r="T241" i="37"/>
  <c r="T240" i="37"/>
  <c r="T239" i="37"/>
  <c r="T238" i="37"/>
  <c r="T237" i="37"/>
  <c r="T236" i="37"/>
  <c r="T235" i="37"/>
  <c r="T234" i="37"/>
  <c r="T233" i="37"/>
  <c r="T232" i="37"/>
  <c r="T231" i="37"/>
  <c r="T230" i="37"/>
  <c r="T229" i="37"/>
  <c r="T228" i="37"/>
  <c r="T227" i="37"/>
  <c r="T226" i="37"/>
  <c r="T225" i="37"/>
  <c r="T224" i="37"/>
  <c r="T223" i="37"/>
  <c r="T222" i="37"/>
  <c r="T221" i="37"/>
  <c r="T220" i="37"/>
  <c r="T219" i="37"/>
  <c r="T218" i="37"/>
  <c r="T217" i="37"/>
  <c r="T216" i="37"/>
  <c r="T215" i="37"/>
  <c r="T214" i="37"/>
  <c r="T213" i="37"/>
  <c r="T212" i="37"/>
  <c r="T211" i="37"/>
  <c r="T210" i="37"/>
  <c r="T209" i="37"/>
  <c r="T208" i="37"/>
  <c r="T207" i="37"/>
  <c r="T206" i="37"/>
  <c r="T205" i="37"/>
  <c r="T204" i="37"/>
  <c r="T203" i="37"/>
  <c r="T202" i="37"/>
  <c r="T201" i="37"/>
  <c r="T200" i="37"/>
  <c r="T199" i="37"/>
  <c r="T198" i="37"/>
  <c r="T197" i="37"/>
  <c r="T196" i="37"/>
  <c r="T195" i="37"/>
  <c r="T194" i="37"/>
  <c r="T193" i="37"/>
  <c r="T192" i="37"/>
  <c r="T191" i="37"/>
  <c r="T190" i="37"/>
  <c r="T189" i="37"/>
  <c r="T188" i="37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74" i="37"/>
  <c r="T173" i="37"/>
  <c r="T172" i="37"/>
  <c r="T171" i="37"/>
  <c r="T170" i="37"/>
  <c r="T169" i="37"/>
  <c r="T168" i="37"/>
  <c r="T167" i="37"/>
  <c r="T166" i="37"/>
  <c r="T165" i="37"/>
  <c r="T164" i="37"/>
  <c r="T163" i="37"/>
  <c r="T162" i="37"/>
  <c r="T161" i="37"/>
  <c r="T160" i="37"/>
  <c r="T159" i="37"/>
  <c r="T158" i="37"/>
  <c r="T157" i="37"/>
  <c r="T156" i="37"/>
  <c r="T155" i="37"/>
  <c r="T154" i="37"/>
  <c r="T153" i="37"/>
  <c r="T152" i="37"/>
  <c r="T151" i="37"/>
  <c r="T150" i="37"/>
  <c r="T149" i="37"/>
  <c r="T148" i="37"/>
  <c r="T147" i="37"/>
  <c r="T146" i="37"/>
  <c r="T145" i="37"/>
  <c r="T144" i="37"/>
  <c r="T143" i="37"/>
  <c r="T142" i="37"/>
  <c r="T141" i="37"/>
  <c r="T140" i="37"/>
  <c r="T139" i="37"/>
  <c r="T138" i="37"/>
  <c r="T137" i="37"/>
  <c r="T136" i="37"/>
  <c r="T135" i="37"/>
  <c r="T134" i="37"/>
  <c r="T133" i="37"/>
  <c r="T132" i="37"/>
  <c r="T131" i="37"/>
  <c r="T130" i="37"/>
  <c r="T129" i="37"/>
  <c r="T128" i="37"/>
  <c r="T127" i="37"/>
  <c r="T126" i="37"/>
  <c r="T125" i="37"/>
  <c r="T124" i="37"/>
  <c r="T123" i="37"/>
  <c r="T122" i="37"/>
  <c r="T121" i="37"/>
  <c r="T120" i="37"/>
  <c r="T119" i="37"/>
  <c r="T118" i="37"/>
  <c r="T117" i="37"/>
  <c r="T116" i="37"/>
  <c r="T115" i="37"/>
  <c r="T114" i="37"/>
  <c r="T113" i="37"/>
  <c r="T112" i="37"/>
  <c r="T111" i="37"/>
  <c r="T110" i="37"/>
  <c r="T109" i="37"/>
  <c r="T108" i="37"/>
  <c r="T107" i="37"/>
  <c r="T106" i="37"/>
  <c r="T105" i="37"/>
  <c r="T104" i="37"/>
  <c r="T103" i="37"/>
  <c r="T102" i="37"/>
  <c r="T101" i="37"/>
  <c r="T100" i="37"/>
  <c r="T99" i="37"/>
  <c r="T98" i="37"/>
  <c r="T97" i="37"/>
  <c r="T96" i="37"/>
  <c r="T95" i="37"/>
  <c r="T94" i="37"/>
  <c r="T93" i="37"/>
  <c r="T92" i="37"/>
  <c r="T91" i="37"/>
  <c r="T90" i="37"/>
  <c r="T89" i="37"/>
  <c r="T88" i="37"/>
  <c r="T87" i="37"/>
  <c r="T86" i="37"/>
  <c r="T85" i="37"/>
  <c r="T84" i="37"/>
  <c r="T83" i="37"/>
  <c r="T82" i="37"/>
  <c r="T81" i="37"/>
  <c r="T80" i="37"/>
  <c r="T79" i="37"/>
  <c r="T78" i="37"/>
  <c r="T77" i="37"/>
  <c r="T76" i="37"/>
  <c r="T75" i="37"/>
  <c r="T74" i="37"/>
  <c r="T73" i="37"/>
  <c r="T72" i="37"/>
  <c r="T71" i="37"/>
  <c r="T70" i="37"/>
  <c r="T69" i="37"/>
  <c r="T68" i="37"/>
  <c r="T67" i="37"/>
  <c r="T66" i="37"/>
  <c r="T65" i="37"/>
  <c r="T64" i="37"/>
  <c r="T63" i="37"/>
  <c r="T62" i="37"/>
  <c r="T61" i="37"/>
  <c r="T60" i="37"/>
  <c r="T59" i="37"/>
  <c r="T58" i="37"/>
  <c r="T57" i="37"/>
  <c r="T56" i="37"/>
  <c r="T55" i="37"/>
  <c r="T54" i="37"/>
  <c r="T53" i="37"/>
  <c r="F53" i="37"/>
  <c r="T52" i="37"/>
  <c r="T51" i="37"/>
  <c r="T50" i="37"/>
  <c r="T49" i="37"/>
  <c r="T48" i="37"/>
  <c r="I48" i="37"/>
  <c r="D48" i="37"/>
  <c r="T47" i="37"/>
  <c r="I47" i="37"/>
  <c r="D47" i="37"/>
  <c r="T46" i="37"/>
  <c r="I46" i="37"/>
  <c r="D46" i="37"/>
  <c r="T45" i="37"/>
  <c r="I45" i="37"/>
  <c r="D45" i="37"/>
  <c r="T44" i="37"/>
  <c r="I44" i="37"/>
  <c r="D44" i="37"/>
  <c r="T43" i="37"/>
  <c r="I43" i="37"/>
  <c r="D43" i="37"/>
  <c r="T42" i="37"/>
  <c r="I42" i="37"/>
  <c r="D42" i="37"/>
  <c r="T41" i="37"/>
  <c r="I41" i="37"/>
  <c r="D41" i="37"/>
  <c r="T40" i="37"/>
  <c r="I40" i="37"/>
  <c r="D40" i="37"/>
  <c r="T39" i="37"/>
  <c r="I39" i="37"/>
  <c r="D39" i="37"/>
  <c r="T38" i="37"/>
  <c r="I38" i="37"/>
  <c r="D38" i="37"/>
  <c r="T37" i="37"/>
  <c r="I37" i="37"/>
  <c r="D37" i="37"/>
  <c r="T36" i="37"/>
  <c r="I36" i="37"/>
  <c r="D36" i="37"/>
  <c r="T35" i="37"/>
  <c r="I35" i="37"/>
  <c r="D35" i="37"/>
  <c r="T34" i="37"/>
  <c r="I34" i="37"/>
  <c r="D34" i="37"/>
  <c r="T33" i="37"/>
  <c r="I33" i="37"/>
  <c r="D33" i="37"/>
  <c r="T32" i="37"/>
  <c r="I32" i="37"/>
  <c r="D32" i="37"/>
  <c r="T31" i="37"/>
  <c r="I31" i="37"/>
  <c r="D31" i="37"/>
  <c r="T30" i="37"/>
  <c r="I30" i="37"/>
  <c r="D30" i="37"/>
  <c r="T29" i="37"/>
  <c r="I29" i="37"/>
  <c r="D29" i="37"/>
  <c r="T28" i="37"/>
  <c r="I28" i="37"/>
  <c r="D28" i="37"/>
  <c r="T27" i="37"/>
  <c r="I27" i="37"/>
  <c r="D27" i="37"/>
  <c r="T26" i="37"/>
  <c r="I26" i="37"/>
  <c r="D26" i="37"/>
  <c r="T25" i="37"/>
  <c r="I25" i="37"/>
  <c r="D25" i="37"/>
  <c r="T24" i="37"/>
  <c r="I24" i="37"/>
  <c r="D24" i="37"/>
  <c r="T23" i="37"/>
  <c r="I23" i="37"/>
  <c r="D23" i="37"/>
  <c r="T22" i="37"/>
  <c r="I22" i="37"/>
  <c r="D22" i="37"/>
  <c r="T21" i="37"/>
  <c r="I21" i="37"/>
  <c r="D21" i="37"/>
  <c r="T20" i="37"/>
  <c r="I20" i="37"/>
  <c r="D20" i="37"/>
  <c r="T19" i="37"/>
  <c r="I19" i="37"/>
  <c r="D19" i="37"/>
  <c r="T18" i="37"/>
  <c r="I18" i="37"/>
  <c r="D18" i="37"/>
  <c r="T17" i="37"/>
  <c r="I17" i="37"/>
  <c r="D17" i="37"/>
  <c r="T16" i="37"/>
  <c r="I16" i="37"/>
  <c r="D16" i="37"/>
  <c r="T15" i="37"/>
  <c r="I15" i="37"/>
  <c r="D15" i="37"/>
  <c r="T14" i="37"/>
  <c r="I14" i="37"/>
  <c r="D14" i="37"/>
  <c r="T13" i="37"/>
  <c r="I13" i="37"/>
  <c r="D13" i="37"/>
  <c r="T12" i="37"/>
  <c r="I12" i="37"/>
  <c r="D12" i="37"/>
  <c r="T11" i="37"/>
  <c r="I11" i="37"/>
  <c r="D11" i="37"/>
  <c r="T10" i="37"/>
  <c r="I10" i="37"/>
  <c r="D10" i="37"/>
  <c r="T9" i="37"/>
  <c r="I9" i="37"/>
  <c r="D9" i="37"/>
  <c r="T8" i="37"/>
  <c r="I8" i="37"/>
  <c r="D8" i="37"/>
  <c r="Q7" i="37"/>
  <c r="I7" i="37"/>
  <c r="D7" i="37"/>
  <c r="H5" i="37"/>
  <c r="F5" i="37"/>
  <c r="H4" i="37"/>
  <c r="F4" i="37"/>
  <c r="H3" i="37"/>
  <c r="F3" i="37"/>
  <c r="H2" i="37"/>
  <c r="C2" i="37"/>
  <c r="T342" i="36"/>
  <c r="T341" i="36"/>
  <c r="T340" i="36"/>
  <c r="T339" i="36"/>
  <c r="T338" i="36"/>
  <c r="T337" i="36"/>
  <c r="T336" i="36"/>
  <c r="T335" i="36"/>
  <c r="T334" i="36"/>
  <c r="T333" i="36"/>
  <c r="T332" i="36"/>
  <c r="T331" i="36"/>
  <c r="T330" i="36"/>
  <c r="T329" i="36"/>
  <c r="T328" i="36"/>
  <c r="T327" i="36"/>
  <c r="T326" i="36"/>
  <c r="T325" i="36"/>
  <c r="T324" i="36"/>
  <c r="T323" i="36"/>
  <c r="T322" i="36"/>
  <c r="T321" i="36"/>
  <c r="T320" i="36"/>
  <c r="T319" i="36"/>
  <c r="T318" i="36"/>
  <c r="T317" i="36"/>
  <c r="T316" i="36"/>
  <c r="T315" i="36"/>
  <c r="T314" i="36"/>
  <c r="T313" i="36"/>
  <c r="T312" i="36"/>
  <c r="T311" i="36"/>
  <c r="T310" i="36"/>
  <c r="T309" i="36"/>
  <c r="T308" i="36"/>
  <c r="T307" i="36"/>
  <c r="T306" i="36"/>
  <c r="T305" i="36"/>
  <c r="T304" i="36"/>
  <c r="T303" i="36"/>
  <c r="T302" i="36"/>
  <c r="T301" i="36"/>
  <c r="T300" i="36"/>
  <c r="T299" i="36"/>
  <c r="T298" i="36"/>
  <c r="T297" i="36"/>
  <c r="T296" i="36"/>
  <c r="T295" i="36"/>
  <c r="T294" i="36"/>
  <c r="T293" i="36"/>
  <c r="T292" i="36"/>
  <c r="T291" i="36"/>
  <c r="T290" i="36"/>
  <c r="T289" i="36"/>
  <c r="T288" i="36"/>
  <c r="T287" i="36"/>
  <c r="T286" i="36"/>
  <c r="T285" i="36"/>
  <c r="T284" i="36"/>
  <c r="T283" i="36"/>
  <c r="T282" i="36"/>
  <c r="T281" i="36"/>
  <c r="T280" i="36"/>
  <c r="T279" i="36"/>
  <c r="T278" i="36"/>
  <c r="T277" i="36"/>
  <c r="T276" i="36"/>
  <c r="T275" i="36"/>
  <c r="T274" i="36"/>
  <c r="T273" i="36"/>
  <c r="T272" i="36"/>
  <c r="T271" i="36"/>
  <c r="T270" i="36"/>
  <c r="T269" i="36"/>
  <c r="T268" i="36"/>
  <c r="T267" i="36"/>
  <c r="T266" i="36"/>
  <c r="T265" i="36"/>
  <c r="T264" i="36"/>
  <c r="T263" i="36"/>
  <c r="T262" i="36"/>
  <c r="T261" i="36"/>
  <c r="T260" i="36"/>
  <c r="T259" i="36"/>
  <c r="T258" i="36"/>
  <c r="T257" i="36"/>
  <c r="T256" i="36"/>
  <c r="T255" i="36"/>
  <c r="T254" i="36"/>
  <c r="T253" i="36"/>
  <c r="T252" i="36"/>
  <c r="T251" i="36"/>
  <c r="T250" i="36"/>
  <c r="T249" i="36"/>
  <c r="T248" i="36"/>
  <c r="T247" i="36"/>
  <c r="T246" i="36"/>
  <c r="T245" i="36"/>
  <c r="T244" i="36"/>
  <c r="T243" i="36"/>
  <c r="T242" i="36"/>
  <c r="T241" i="36"/>
  <c r="T240" i="36"/>
  <c r="T239" i="36"/>
  <c r="T238" i="36"/>
  <c r="T237" i="36"/>
  <c r="T236" i="36"/>
  <c r="T235" i="36"/>
  <c r="T234" i="36"/>
  <c r="T233" i="36"/>
  <c r="T232" i="36"/>
  <c r="T231" i="36"/>
  <c r="T230" i="36"/>
  <c r="T229" i="36"/>
  <c r="T228" i="36"/>
  <c r="T227" i="36"/>
  <c r="T226" i="36"/>
  <c r="T225" i="36"/>
  <c r="T224" i="36"/>
  <c r="T223" i="36"/>
  <c r="T222" i="36"/>
  <c r="T221" i="36"/>
  <c r="T220" i="36"/>
  <c r="T219" i="36"/>
  <c r="T218" i="36"/>
  <c r="T217" i="36"/>
  <c r="T216" i="36"/>
  <c r="T215" i="36"/>
  <c r="T214" i="36"/>
  <c r="T213" i="36"/>
  <c r="T212" i="36"/>
  <c r="T211" i="36"/>
  <c r="T210" i="36"/>
  <c r="T209" i="36"/>
  <c r="T208" i="36"/>
  <c r="T207" i="36"/>
  <c r="T206" i="36"/>
  <c r="T205" i="36"/>
  <c r="T204" i="36"/>
  <c r="T203" i="36"/>
  <c r="T202" i="36"/>
  <c r="T201" i="36"/>
  <c r="T200" i="36"/>
  <c r="T199" i="36"/>
  <c r="T198" i="36"/>
  <c r="T197" i="36"/>
  <c r="T196" i="36"/>
  <c r="T195" i="36"/>
  <c r="T194" i="36"/>
  <c r="T193" i="36"/>
  <c r="T192" i="36"/>
  <c r="T191" i="36"/>
  <c r="T190" i="36"/>
  <c r="T189" i="36"/>
  <c r="T188" i="36"/>
  <c r="T187" i="36"/>
  <c r="T186" i="36"/>
  <c r="T185" i="36"/>
  <c r="T184" i="36"/>
  <c r="T183" i="36"/>
  <c r="T182" i="36"/>
  <c r="T181" i="36"/>
  <c r="T180" i="36"/>
  <c r="T179" i="36"/>
  <c r="T178" i="36"/>
  <c r="T177" i="36"/>
  <c r="T176" i="36"/>
  <c r="T175" i="36"/>
  <c r="T174" i="36"/>
  <c r="T173" i="36"/>
  <c r="T172" i="36"/>
  <c r="T171" i="36"/>
  <c r="T170" i="36"/>
  <c r="T169" i="36"/>
  <c r="T168" i="36"/>
  <c r="T167" i="36"/>
  <c r="T166" i="36"/>
  <c r="T165" i="36"/>
  <c r="T164" i="36"/>
  <c r="T163" i="36"/>
  <c r="T162" i="36"/>
  <c r="T161" i="36"/>
  <c r="T160" i="36"/>
  <c r="T159" i="36"/>
  <c r="T158" i="36"/>
  <c r="T157" i="36"/>
  <c r="T156" i="36"/>
  <c r="T155" i="36"/>
  <c r="T154" i="36"/>
  <c r="T153" i="36"/>
  <c r="T152" i="36"/>
  <c r="T151" i="36"/>
  <c r="T150" i="36"/>
  <c r="T149" i="36"/>
  <c r="T148" i="36"/>
  <c r="T147" i="36"/>
  <c r="T146" i="36"/>
  <c r="T145" i="36"/>
  <c r="T144" i="36"/>
  <c r="T143" i="36"/>
  <c r="T142" i="36"/>
  <c r="T141" i="36"/>
  <c r="T140" i="36"/>
  <c r="T139" i="36"/>
  <c r="T138" i="36"/>
  <c r="T137" i="36"/>
  <c r="T136" i="36"/>
  <c r="T135" i="36"/>
  <c r="T134" i="36"/>
  <c r="T133" i="36"/>
  <c r="T132" i="36"/>
  <c r="T131" i="36"/>
  <c r="T130" i="36"/>
  <c r="T129" i="36"/>
  <c r="T128" i="36"/>
  <c r="T127" i="36"/>
  <c r="T126" i="36"/>
  <c r="T125" i="36"/>
  <c r="T124" i="36"/>
  <c r="T123" i="36"/>
  <c r="T122" i="36"/>
  <c r="T121" i="36"/>
  <c r="T120" i="36"/>
  <c r="T119" i="36"/>
  <c r="T118" i="36"/>
  <c r="T117" i="36"/>
  <c r="T116" i="36"/>
  <c r="T115" i="36"/>
  <c r="T114" i="36"/>
  <c r="T113" i="36"/>
  <c r="T112" i="36"/>
  <c r="T111" i="36"/>
  <c r="T110" i="36"/>
  <c r="T109" i="36"/>
  <c r="T108" i="36"/>
  <c r="T107" i="36"/>
  <c r="T106" i="36"/>
  <c r="T105" i="36"/>
  <c r="T104" i="36"/>
  <c r="T103" i="36"/>
  <c r="T102" i="36"/>
  <c r="T101" i="36"/>
  <c r="T100" i="36"/>
  <c r="T99" i="36"/>
  <c r="T98" i="36"/>
  <c r="T97" i="36"/>
  <c r="T96" i="36"/>
  <c r="T95" i="36"/>
  <c r="T94" i="36"/>
  <c r="T93" i="36"/>
  <c r="T92" i="36"/>
  <c r="T91" i="36"/>
  <c r="T90" i="36"/>
  <c r="T89" i="36"/>
  <c r="T88" i="36"/>
  <c r="T87" i="36"/>
  <c r="T86" i="36"/>
  <c r="T85" i="36"/>
  <c r="T84" i="36"/>
  <c r="T83" i="36"/>
  <c r="T82" i="36"/>
  <c r="T81" i="36"/>
  <c r="T80" i="36"/>
  <c r="T79" i="36"/>
  <c r="T78" i="36"/>
  <c r="T77" i="36"/>
  <c r="T76" i="36"/>
  <c r="T75" i="36"/>
  <c r="T74" i="36"/>
  <c r="T73" i="36"/>
  <c r="T72" i="36"/>
  <c r="T71" i="36"/>
  <c r="T70" i="36"/>
  <c r="T69" i="36"/>
  <c r="T68" i="36"/>
  <c r="T67" i="36"/>
  <c r="T66" i="36"/>
  <c r="T65" i="36"/>
  <c r="T64" i="36"/>
  <c r="T63" i="36"/>
  <c r="T62" i="36"/>
  <c r="T61" i="36"/>
  <c r="T60" i="36"/>
  <c r="T59" i="36"/>
  <c r="T58" i="36"/>
  <c r="T57" i="36"/>
  <c r="T56" i="36"/>
  <c r="T55" i="36"/>
  <c r="T54" i="36"/>
  <c r="T53" i="36"/>
  <c r="F53" i="36"/>
  <c r="T52" i="36"/>
  <c r="T51" i="36"/>
  <c r="T50" i="36"/>
  <c r="T49" i="36"/>
  <c r="T48" i="36"/>
  <c r="I48" i="36"/>
  <c r="D48" i="36"/>
  <c r="T47" i="36"/>
  <c r="I47" i="36"/>
  <c r="D47" i="36"/>
  <c r="T46" i="36"/>
  <c r="I46" i="36"/>
  <c r="D46" i="36"/>
  <c r="T45" i="36"/>
  <c r="I45" i="36"/>
  <c r="D45" i="36"/>
  <c r="T44" i="36"/>
  <c r="I44" i="36"/>
  <c r="D44" i="36"/>
  <c r="T43" i="36"/>
  <c r="I43" i="36"/>
  <c r="D43" i="36"/>
  <c r="T42" i="36"/>
  <c r="I42" i="36"/>
  <c r="D42" i="36"/>
  <c r="T41" i="36"/>
  <c r="I41" i="36"/>
  <c r="D41" i="36"/>
  <c r="T40" i="36"/>
  <c r="I40" i="36"/>
  <c r="D40" i="36"/>
  <c r="T39" i="36"/>
  <c r="I39" i="36"/>
  <c r="D39" i="36"/>
  <c r="T38" i="36"/>
  <c r="I38" i="36"/>
  <c r="D38" i="36"/>
  <c r="T37" i="36"/>
  <c r="I37" i="36"/>
  <c r="D37" i="36"/>
  <c r="T36" i="36"/>
  <c r="I36" i="36"/>
  <c r="D36" i="36"/>
  <c r="T35" i="36"/>
  <c r="I35" i="36"/>
  <c r="D35" i="36"/>
  <c r="T34" i="36"/>
  <c r="I34" i="36"/>
  <c r="D34" i="36"/>
  <c r="T33" i="36"/>
  <c r="I33" i="36"/>
  <c r="D33" i="36"/>
  <c r="T32" i="36"/>
  <c r="I32" i="36"/>
  <c r="D32" i="36"/>
  <c r="T31" i="36"/>
  <c r="I31" i="36"/>
  <c r="D31" i="36"/>
  <c r="T30" i="36"/>
  <c r="I30" i="36"/>
  <c r="D30" i="36"/>
  <c r="T29" i="36"/>
  <c r="I29" i="36"/>
  <c r="D29" i="36"/>
  <c r="T28" i="36"/>
  <c r="I28" i="36"/>
  <c r="D28" i="36"/>
  <c r="T27" i="36"/>
  <c r="I27" i="36"/>
  <c r="D27" i="36"/>
  <c r="T26" i="36"/>
  <c r="I26" i="36"/>
  <c r="D26" i="36"/>
  <c r="T25" i="36"/>
  <c r="I25" i="36"/>
  <c r="D25" i="36"/>
  <c r="T24" i="36"/>
  <c r="I24" i="36"/>
  <c r="D24" i="36"/>
  <c r="T23" i="36"/>
  <c r="I23" i="36"/>
  <c r="D23" i="36"/>
  <c r="T22" i="36"/>
  <c r="I22" i="36"/>
  <c r="D22" i="36"/>
  <c r="T21" i="36"/>
  <c r="I21" i="36"/>
  <c r="D21" i="36"/>
  <c r="T20" i="36"/>
  <c r="I20" i="36"/>
  <c r="D20" i="36"/>
  <c r="T19" i="36"/>
  <c r="I19" i="36"/>
  <c r="D19" i="36"/>
  <c r="T18" i="36"/>
  <c r="I18" i="36"/>
  <c r="D18" i="36"/>
  <c r="T17" i="36"/>
  <c r="I17" i="36"/>
  <c r="D17" i="36"/>
  <c r="T16" i="36"/>
  <c r="I16" i="36"/>
  <c r="D16" i="36"/>
  <c r="T15" i="36"/>
  <c r="I15" i="36"/>
  <c r="D15" i="36"/>
  <c r="T14" i="36"/>
  <c r="I14" i="36"/>
  <c r="D14" i="36"/>
  <c r="T13" i="36"/>
  <c r="I13" i="36"/>
  <c r="D13" i="36"/>
  <c r="T12" i="36"/>
  <c r="I12" i="36"/>
  <c r="D12" i="36"/>
  <c r="T11" i="36"/>
  <c r="I11" i="36"/>
  <c r="D11" i="36"/>
  <c r="T10" i="36"/>
  <c r="I10" i="36"/>
  <c r="D10" i="36"/>
  <c r="T9" i="36"/>
  <c r="I9" i="36"/>
  <c r="D9" i="36"/>
  <c r="T8" i="36"/>
  <c r="I8" i="36"/>
  <c r="D8" i="36"/>
  <c r="Q7" i="36"/>
  <c r="I7" i="36"/>
  <c r="D7" i="36"/>
  <c r="H5" i="36"/>
  <c r="F5" i="36"/>
  <c r="H4" i="36"/>
  <c r="F4" i="36"/>
  <c r="H3" i="36"/>
  <c r="F3" i="36"/>
  <c r="H2" i="36"/>
  <c r="C2" i="36"/>
  <c r="T342" i="35"/>
  <c r="T341" i="35"/>
  <c r="T340" i="35"/>
  <c r="T339" i="35"/>
  <c r="T338" i="35"/>
  <c r="T337" i="35"/>
  <c r="T336" i="35"/>
  <c r="T335" i="35"/>
  <c r="T334" i="35"/>
  <c r="T333" i="35"/>
  <c r="T332" i="35"/>
  <c r="T331" i="35"/>
  <c r="T330" i="35"/>
  <c r="T329" i="35"/>
  <c r="T328" i="35"/>
  <c r="T327" i="35"/>
  <c r="T326" i="35"/>
  <c r="T325" i="35"/>
  <c r="T324" i="35"/>
  <c r="T323" i="35"/>
  <c r="T322" i="35"/>
  <c r="T321" i="35"/>
  <c r="T320" i="35"/>
  <c r="T319" i="35"/>
  <c r="T318" i="35"/>
  <c r="T317" i="35"/>
  <c r="T316" i="35"/>
  <c r="T315" i="35"/>
  <c r="T314" i="35"/>
  <c r="T313" i="35"/>
  <c r="T312" i="35"/>
  <c r="T311" i="35"/>
  <c r="T310" i="35"/>
  <c r="T309" i="35"/>
  <c r="T308" i="35"/>
  <c r="T307" i="35"/>
  <c r="T306" i="35"/>
  <c r="T305" i="35"/>
  <c r="T304" i="35"/>
  <c r="T303" i="35"/>
  <c r="T302" i="35"/>
  <c r="T301" i="35"/>
  <c r="T300" i="35"/>
  <c r="T299" i="35"/>
  <c r="T298" i="35"/>
  <c r="T297" i="35"/>
  <c r="T296" i="35"/>
  <c r="T295" i="35"/>
  <c r="T294" i="35"/>
  <c r="T293" i="35"/>
  <c r="T292" i="35"/>
  <c r="T291" i="35"/>
  <c r="T290" i="35"/>
  <c r="T289" i="35"/>
  <c r="T288" i="35"/>
  <c r="T287" i="35"/>
  <c r="T286" i="35"/>
  <c r="T285" i="35"/>
  <c r="T284" i="35"/>
  <c r="T283" i="35"/>
  <c r="T282" i="35"/>
  <c r="T281" i="35"/>
  <c r="T280" i="35"/>
  <c r="T279" i="35"/>
  <c r="T278" i="35"/>
  <c r="T277" i="35"/>
  <c r="T276" i="35"/>
  <c r="T275" i="35"/>
  <c r="T274" i="35"/>
  <c r="T273" i="35"/>
  <c r="T272" i="35"/>
  <c r="T271" i="35"/>
  <c r="T270" i="35"/>
  <c r="T269" i="35"/>
  <c r="T268" i="35"/>
  <c r="T267" i="35"/>
  <c r="T266" i="35"/>
  <c r="T265" i="35"/>
  <c r="T264" i="35"/>
  <c r="T263" i="35"/>
  <c r="T262" i="35"/>
  <c r="T261" i="35"/>
  <c r="T260" i="35"/>
  <c r="T259" i="35"/>
  <c r="T258" i="35"/>
  <c r="T257" i="35"/>
  <c r="T256" i="35"/>
  <c r="T255" i="35"/>
  <c r="T254" i="35"/>
  <c r="T253" i="35"/>
  <c r="T252" i="35"/>
  <c r="T251" i="35"/>
  <c r="T250" i="35"/>
  <c r="T249" i="35"/>
  <c r="T248" i="35"/>
  <c r="T247" i="35"/>
  <c r="T246" i="35"/>
  <c r="T245" i="35"/>
  <c r="T244" i="35"/>
  <c r="T243" i="35"/>
  <c r="T242" i="35"/>
  <c r="T241" i="35"/>
  <c r="T240" i="35"/>
  <c r="T239" i="35"/>
  <c r="T238" i="35"/>
  <c r="T237" i="35"/>
  <c r="T236" i="35"/>
  <c r="T235" i="35"/>
  <c r="T234" i="35"/>
  <c r="T233" i="35"/>
  <c r="T232" i="35"/>
  <c r="T231" i="35"/>
  <c r="T230" i="35"/>
  <c r="T229" i="35"/>
  <c r="T228" i="35"/>
  <c r="T227" i="35"/>
  <c r="T226" i="35"/>
  <c r="T225" i="35"/>
  <c r="T224" i="35"/>
  <c r="T223" i="35"/>
  <c r="T222" i="35"/>
  <c r="T221" i="35"/>
  <c r="T220" i="35"/>
  <c r="T219" i="35"/>
  <c r="T218" i="35"/>
  <c r="T217" i="35"/>
  <c r="T216" i="35"/>
  <c r="T215" i="35"/>
  <c r="T214" i="35"/>
  <c r="T213" i="35"/>
  <c r="T212" i="35"/>
  <c r="T211" i="35"/>
  <c r="T210" i="35"/>
  <c r="T209" i="35"/>
  <c r="T208" i="35"/>
  <c r="T207" i="35"/>
  <c r="T206" i="35"/>
  <c r="T205" i="35"/>
  <c r="T204" i="35"/>
  <c r="T203" i="35"/>
  <c r="T202" i="35"/>
  <c r="T201" i="35"/>
  <c r="T200" i="35"/>
  <c r="T199" i="35"/>
  <c r="T198" i="35"/>
  <c r="T197" i="35"/>
  <c r="T196" i="35"/>
  <c r="T195" i="35"/>
  <c r="T194" i="35"/>
  <c r="T193" i="35"/>
  <c r="T192" i="35"/>
  <c r="T191" i="35"/>
  <c r="T190" i="35"/>
  <c r="T189" i="35"/>
  <c r="T188" i="35"/>
  <c r="T187" i="35"/>
  <c r="T186" i="35"/>
  <c r="T185" i="35"/>
  <c r="T184" i="35"/>
  <c r="T183" i="35"/>
  <c r="T182" i="35"/>
  <c r="T181" i="35"/>
  <c r="T180" i="35"/>
  <c r="T179" i="35"/>
  <c r="T178" i="35"/>
  <c r="T177" i="35"/>
  <c r="T176" i="35"/>
  <c r="T175" i="35"/>
  <c r="T174" i="35"/>
  <c r="T173" i="35"/>
  <c r="T172" i="35"/>
  <c r="T171" i="35"/>
  <c r="T170" i="35"/>
  <c r="T169" i="35"/>
  <c r="T168" i="35"/>
  <c r="T167" i="35"/>
  <c r="T166" i="35"/>
  <c r="T165" i="35"/>
  <c r="T164" i="35"/>
  <c r="T163" i="35"/>
  <c r="T162" i="35"/>
  <c r="T161" i="35"/>
  <c r="T160" i="35"/>
  <c r="T159" i="35"/>
  <c r="T158" i="35"/>
  <c r="T157" i="35"/>
  <c r="T156" i="35"/>
  <c r="T155" i="35"/>
  <c r="T154" i="35"/>
  <c r="T153" i="35"/>
  <c r="T152" i="35"/>
  <c r="T151" i="35"/>
  <c r="T150" i="35"/>
  <c r="T149" i="35"/>
  <c r="T148" i="35"/>
  <c r="T147" i="35"/>
  <c r="T146" i="35"/>
  <c r="T145" i="35"/>
  <c r="T144" i="35"/>
  <c r="T143" i="35"/>
  <c r="T142" i="35"/>
  <c r="T141" i="35"/>
  <c r="T140" i="35"/>
  <c r="T139" i="35"/>
  <c r="T138" i="35"/>
  <c r="T137" i="35"/>
  <c r="T136" i="35"/>
  <c r="T135" i="35"/>
  <c r="T134" i="35"/>
  <c r="T133" i="35"/>
  <c r="T132" i="35"/>
  <c r="T131" i="35"/>
  <c r="T130" i="35"/>
  <c r="T129" i="35"/>
  <c r="T128" i="35"/>
  <c r="T127" i="35"/>
  <c r="T126" i="35"/>
  <c r="T125" i="35"/>
  <c r="T124" i="35"/>
  <c r="T123" i="35"/>
  <c r="T122" i="35"/>
  <c r="T121" i="35"/>
  <c r="T120" i="35"/>
  <c r="T119" i="35"/>
  <c r="T118" i="35"/>
  <c r="T117" i="35"/>
  <c r="T116" i="35"/>
  <c r="T115" i="35"/>
  <c r="T114" i="35"/>
  <c r="T113" i="35"/>
  <c r="T112" i="35"/>
  <c r="T111" i="35"/>
  <c r="T110" i="35"/>
  <c r="T109" i="35"/>
  <c r="T108" i="35"/>
  <c r="T107" i="35"/>
  <c r="T106" i="35"/>
  <c r="T105" i="35"/>
  <c r="T104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F53" i="35"/>
  <c r="T52" i="35"/>
  <c r="T51" i="35"/>
  <c r="T50" i="35"/>
  <c r="T49" i="35"/>
  <c r="T48" i="35"/>
  <c r="I48" i="35"/>
  <c r="D48" i="35"/>
  <c r="T47" i="35"/>
  <c r="I47" i="35"/>
  <c r="D47" i="35"/>
  <c r="T46" i="35"/>
  <c r="I46" i="35"/>
  <c r="D46" i="35"/>
  <c r="T45" i="35"/>
  <c r="I45" i="35"/>
  <c r="D45" i="35"/>
  <c r="T44" i="35"/>
  <c r="I44" i="35"/>
  <c r="D44" i="35"/>
  <c r="T43" i="35"/>
  <c r="I43" i="35"/>
  <c r="D43" i="35"/>
  <c r="T42" i="35"/>
  <c r="I42" i="35"/>
  <c r="D42" i="35"/>
  <c r="T41" i="35"/>
  <c r="I41" i="35"/>
  <c r="D41" i="35"/>
  <c r="T40" i="35"/>
  <c r="I40" i="35"/>
  <c r="D40" i="35"/>
  <c r="T39" i="35"/>
  <c r="I39" i="35"/>
  <c r="D39" i="35"/>
  <c r="T38" i="35"/>
  <c r="I38" i="35"/>
  <c r="D38" i="35"/>
  <c r="T37" i="35"/>
  <c r="I37" i="35"/>
  <c r="D37" i="35"/>
  <c r="T36" i="35"/>
  <c r="I36" i="35"/>
  <c r="D36" i="35"/>
  <c r="T35" i="35"/>
  <c r="I35" i="35"/>
  <c r="D35" i="35"/>
  <c r="T34" i="35"/>
  <c r="I34" i="35"/>
  <c r="D34" i="35"/>
  <c r="T33" i="35"/>
  <c r="I33" i="35"/>
  <c r="D33" i="35"/>
  <c r="T32" i="35"/>
  <c r="I32" i="35"/>
  <c r="D32" i="35"/>
  <c r="T31" i="35"/>
  <c r="I31" i="35"/>
  <c r="D31" i="35"/>
  <c r="T30" i="35"/>
  <c r="I30" i="35"/>
  <c r="D30" i="35"/>
  <c r="T29" i="35"/>
  <c r="I29" i="35"/>
  <c r="D29" i="35"/>
  <c r="T28" i="35"/>
  <c r="I28" i="35"/>
  <c r="D28" i="35"/>
  <c r="T27" i="35"/>
  <c r="I27" i="35"/>
  <c r="D27" i="35"/>
  <c r="T26" i="35"/>
  <c r="I26" i="35"/>
  <c r="D26" i="35"/>
  <c r="T25" i="35"/>
  <c r="I25" i="35"/>
  <c r="D25" i="35"/>
  <c r="T24" i="35"/>
  <c r="I24" i="35"/>
  <c r="D24" i="35"/>
  <c r="T23" i="35"/>
  <c r="I23" i="35"/>
  <c r="D23" i="35"/>
  <c r="T22" i="35"/>
  <c r="I22" i="35"/>
  <c r="D22" i="35"/>
  <c r="T21" i="35"/>
  <c r="I21" i="35"/>
  <c r="D21" i="35"/>
  <c r="T20" i="35"/>
  <c r="I20" i="35"/>
  <c r="D20" i="35"/>
  <c r="T19" i="35"/>
  <c r="I19" i="35"/>
  <c r="D19" i="35"/>
  <c r="T18" i="35"/>
  <c r="I18" i="35"/>
  <c r="D18" i="35"/>
  <c r="T17" i="35"/>
  <c r="I17" i="35"/>
  <c r="D17" i="35"/>
  <c r="T16" i="35"/>
  <c r="I16" i="35"/>
  <c r="D16" i="35"/>
  <c r="T15" i="35"/>
  <c r="I15" i="35"/>
  <c r="D15" i="35"/>
  <c r="T14" i="35"/>
  <c r="I14" i="35"/>
  <c r="D14" i="35"/>
  <c r="T13" i="35"/>
  <c r="I13" i="35"/>
  <c r="D13" i="35"/>
  <c r="T12" i="35"/>
  <c r="I12" i="35"/>
  <c r="D12" i="35"/>
  <c r="T11" i="35"/>
  <c r="I11" i="35"/>
  <c r="D11" i="35"/>
  <c r="T10" i="35"/>
  <c r="I10" i="35"/>
  <c r="D10" i="35"/>
  <c r="T9" i="35"/>
  <c r="I9" i="35"/>
  <c r="D9" i="35"/>
  <c r="T8" i="35"/>
  <c r="I8" i="35"/>
  <c r="D8" i="35"/>
  <c r="Q7" i="35"/>
  <c r="I7" i="35"/>
  <c r="D7" i="35"/>
  <c r="H5" i="35"/>
  <c r="F5" i="35"/>
  <c r="H4" i="35"/>
  <c r="F4" i="35"/>
  <c r="H3" i="35"/>
  <c r="F3" i="35"/>
  <c r="H2" i="35"/>
  <c r="C2" i="35"/>
  <c r="T342" i="34"/>
  <c r="T341" i="34"/>
  <c r="T340" i="34"/>
  <c r="T339" i="34"/>
  <c r="T338" i="34"/>
  <c r="T337" i="34"/>
  <c r="T336" i="34"/>
  <c r="T335" i="34"/>
  <c r="T334" i="34"/>
  <c r="T333" i="34"/>
  <c r="T332" i="34"/>
  <c r="T331" i="34"/>
  <c r="T330" i="34"/>
  <c r="T329" i="34"/>
  <c r="T328" i="34"/>
  <c r="T327" i="34"/>
  <c r="T326" i="34"/>
  <c r="T325" i="34"/>
  <c r="T324" i="34"/>
  <c r="T323" i="34"/>
  <c r="T322" i="34"/>
  <c r="T321" i="34"/>
  <c r="T320" i="34"/>
  <c r="T319" i="34"/>
  <c r="T318" i="34"/>
  <c r="T317" i="34"/>
  <c r="T316" i="34"/>
  <c r="T315" i="34"/>
  <c r="T314" i="34"/>
  <c r="T313" i="34"/>
  <c r="T312" i="34"/>
  <c r="T311" i="34"/>
  <c r="T310" i="34"/>
  <c r="T309" i="34"/>
  <c r="T308" i="34"/>
  <c r="T307" i="34"/>
  <c r="T306" i="34"/>
  <c r="T305" i="34"/>
  <c r="T304" i="34"/>
  <c r="T303" i="34"/>
  <c r="T302" i="34"/>
  <c r="T301" i="34"/>
  <c r="T300" i="34"/>
  <c r="T299" i="34"/>
  <c r="T298" i="34"/>
  <c r="T297" i="34"/>
  <c r="T296" i="34"/>
  <c r="T295" i="34"/>
  <c r="T294" i="34"/>
  <c r="T293" i="34"/>
  <c r="T292" i="34"/>
  <c r="T291" i="34"/>
  <c r="T290" i="34"/>
  <c r="T289" i="34"/>
  <c r="T288" i="34"/>
  <c r="T287" i="34"/>
  <c r="T286" i="34"/>
  <c r="T285" i="34"/>
  <c r="T284" i="34"/>
  <c r="T283" i="34"/>
  <c r="T282" i="34"/>
  <c r="T281" i="34"/>
  <c r="T280" i="34"/>
  <c r="T279" i="34"/>
  <c r="T278" i="34"/>
  <c r="T277" i="34"/>
  <c r="T276" i="34"/>
  <c r="T275" i="34"/>
  <c r="T274" i="34"/>
  <c r="T273" i="34"/>
  <c r="T272" i="34"/>
  <c r="T271" i="34"/>
  <c r="T270" i="34"/>
  <c r="T269" i="34"/>
  <c r="T268" i="34"/>
  <c r="T267" i="34"/>
  <c r="T266" i="34"/>
  <c r="T265" i="34"/>
  <c r="T264" i="34"/>
  <c r="T263" i="34"/>
  <c r="T262" i="34"/>
  <c r="T261" i="34"/>
  <c r="T260" i="34"/>
  <c r="T259" i="34"/>
  <c r="T258" i="34"/>
  <c r="T257" i="34"/>
  <c r="T256" i="34"/>
  <c r="T255" i="34"/>
  <c r="T254" i="34"/>
  <c r="T253" i="34"/>
  <c r="T252" i="34"/>
  <c r="T251" i="34"/>
  <c r="T250" i="34"/>
  <c r="T249" i="34"/>
  <c r="T248" i="34"/>
  <c r="T247" i="34"/>
  <c r="T246" i="34"/>
  <c r="T245" i="34"/>
  <c r="T244" i="34"/>
  <c r="T243" i="34"/>
  <c r="T242" i="34"/>
  <c r="T241" i="34"/>
  <c r="T240" i="34"/>
  <c r="T239" i="34"/>
  <c r="T238" i="34"/>
  <c r="T237" i="34"/>
  <c r="T236" i="34"/>
  <c r="T235" i="34"/>
  <c r="T234" i="34"/>
  <c r="T233" i="34"/>
  <c r="T232" i="34"/>
  <c r="T231" i="34"/>
  <c r="T230" i="34"/>
  <c r="T229" i="34"/>
  <c r="T228" i="34"/>
  <c r="T227" i="34"/>
  <c r="T226" i="34"/>
  <c r="T225" i="34"/>
  <c r="T224" i="34"/>
  <c r="T223" i="34"/>
  <c r="T222" i="34"/>
  <c r="T221" i="34"/>
  <c r="T220" i="34"/>
  <c r="T219" i="34"/>
  <c r="T218" i="34"/>
  <c r="T217" i="34"/>
  <c r="T216" i="34"/>
  <c r="T215" i="34"/>
  <c r="T214" i="34"/>
  <c r="T213" i="34"/>
  <c r="T212" i="34"/>
  <c r="T211" i="34"/>
  <c r="T210" i="34"/>
  <c r="T209" i="34"/>
  <c r="T208" i="34"/>
  <c r="T207" i="34"/>
  <c r="T206" i="34"/>
  <c r="T205" i="34"/>
  <c r="T204" i="34"/>
  <c r="T203" i="34"/>
  <c r="T202" i="34"/>
  <c r="T201" i="34"/>
  <c r="T200" i="34"/>
  <c r="T199" i="34"/>
  <c r="T198" i="34"/>
  <c r="T197" i="34"/>
  <c r="T196" i="34"/>
  <c r="T195" i="34"/>
  <c r="T194" i="34"/>
  <c r="T193" i="34"/>
  <c r="T192" i="34"/>
  <c r="T191" i="34"/>
  <c r="T190" i="34"/>
  <c r="T189" i="34"/>
  <c r="T188" i="34"/>
  <c r="T187" i="34"/>
  <c r="T186" i="34"/>
  <c r="T185" i="34"/>
  <c r="T184" i="34"/>
  <c r="T183" i="34"/>
  <c r="T182" i="34"/>
  <c r="T181" i="34"/>
  <c r="T180" i="34"/>
  <c r="T179" i="34"/>
  <c r="T178" i="34"/>
  <c r="T177" i="34"/>
  <c r="T176" i="34"/>
  <c r="T175" i="34"/>
  <c r="T174" i="34"/>
  <c r="T173" i="34"/>
  <c r="T172" i="34"/>
  <c r="T171" i="34"/>
  <c r="T170" i="34"/>
  <c r="T169" i="34"/>
  <c r="T168" i="34"/>
  <c r="T167" i="34"/>
  <c r="T166" i="34"/>
  <c r="T165" i="34"/>
  <c r="T164" i="34"/>
  <c r="T163" i="34"/>
  <c r="T162" i="34"/>
  <c r="T161" i="34"/>
  <c r="T160" i="34"/>
  <c r="T159" i="34"/>
  <c r="T158" i="34"/>
  <c r="T157" i="34"/>
  <c r="T156" i="34"/>
  <c r="T155" i="34"/>
  <c r="T154" i="34"/>
  <c r="T153" i="34"/>
  <c r="T152" i="34"/>
  <c r="T151" i="34"/>
  <c r="T150" i="34"/>
  <c r="T149" i="34"/>
  <c r="T148" i="34"/>
  <c r="T147" i="34"/>
  <c r="T146" i="34"/>
  <c r="T145" i="34"/>
  <c r="T144" i="34"/>
  <c r="T143" i="34"/>
  <c r="T142" i="34"/>
  <c r="T141" i="34"/>
  <c r="T140" i="34"/>
  <c r="T139" i="34"/>
  <c r="T138" i="34"/>
  <c r="T137" i="34"/>
  <c r="T136" i="34"/>
  <c r="T135" i="34"/>
  <c r="T134" i="34"/>
  <c r="T133" i="34"/>
  <c r="T132" i="34"/>
  <c r="T131" i="34"/>
  <c r="T130" i="34"/>
  <c r="T129" i="34"/>
  <c r="T128" i="34"/>
  <c r="T127" i="34"/>
  <c r="T126" i="34"/>
  <c r="T125" i="34"/>
  <c r="T124" i="34"/>
  <c r="T123" i="34"/>
  <c r="T122" i="34"/>
  <c r="T121" i="34"/>
  <c r="T120" i="34"/>
  <c r="T119" i="34"/>
  <c r="T118" i="34"/>
  <c r="T117" i="34"/>
  <c r="T116" i="34"/>
  <c r="T115" i="34"/>
  <c r="T114" i="34"/>
  <c r="T113" i="34"/>
  <c r="T112" i="34"/>
  <c r="T111" i="34"/>
  <c r="T110" i="34"/>
  <c r="T109" i="34"/>
  <c r="T108" i="34"/>
  <c r="T107" i="34"/>
  <c r="T106" i="34"/>
  <c r="T105" i="34"/>
  <c r="T104" i="34"/>
  <c r="T103" i="34"/>
  <c r="T102" i="34"/>
  <c r="T101" i="34"/>
  <c r="T100" i="34"/>
  <c r="T99" i="34"/>
  <c r="T98" i="34"/>
  <c r="T97" i="34"/>
  <c r="T96" i="34"/>
  <c r="T95" i="34"/>
  <c r="T94" i="34"/>
  <c r="T93" i="34"/>
  <c r="T92" i="34"/>
  <c r="T91" i="34"/>
  <c r="T90" i="34"/>
  <c r="T89" i="34"/>
  <c r="T88" i="34"/>
  <c r="T87" i="34"/>
  <c r="T86" i="34"/>
  <c r="T85" i="34"/>
  <c r="T84" i="34"/>
  <c r="T83" i="34"/>
  <c r="T82" i="34"/>
  <c r="T81" i="34"/>
  <c r="T80" i="34"/>
  <c r="T79" i="34"/>
  <c r="T78" i="34"/>
  <c r="T77" i="34"/>
  <c r="T76" i="34"/>
  <c r="T75" i="34"/>
  <c r="T74" i="34"/>
  <c r="T73" i="34"/>
  <c r="T72" i="34"/>
  <c r="T71" i="34"/>
  <c r="T70" i="34"/>
  <c r="T69" i="34"/>
  <c r="T68" i="34"/>
  <c r="T67" i="34"/>
  <c r="T66" i="34"/>
  <c r="T65" i="34"/>
  <c r="T64" i="34"/>
  <c r="T63" i="34"/>
  <c r="T62" i="34"/>
  <c r="T61" i="34"/>
  <c r="T60" i="34"/>
  <c r="T59" i="34"/>
  <c r="T58" i="34"/>
  <c r="T57" i="34"/>
  <c r="T56" i="34"/>
  <c r="T55" i="34"/>
  <c r="T54" i="34"/>
  <c r="T53" i="34"/>
  <c r="F53" i="34"/>
  <c r="T52" i="34"/>
  <c r="T51" i="34"/>
  <c r="T50" i="34"/>
  <c r="T49" i="34"/>
  <c r="T48" i="34"/>
  <c r="I48" i="34"/>
  <c r="D48" i="34"/>
  <c r="T47" i="34"/>
  <c r="I47" i="34"/>
  <c r="D47" i="34"/>
  <c r="T46" i="34"/>
  <c r="I46" i="34"/>
  <c r="D46" i="34"/>
  <c r="T45" i="34"/>
  <c r="I45" i="34"/>
  <c r="D45" i="34"/>
  <c r="T44" i="34"/>
  <c r="I44" i="34"/>
  <c r="D44" i="34"/>
  <c r="T43" i="34"/>
  <c r="I43" i="34"/>
  <c r="D43" i="34"/>
  <c r="T42" i="34"/>
  <c r="I42" i="34"/>
  <c r="D42" i="34"/>
  <c r="T41" i="34"/>
  <c r="I41" i="34"/>
  <c r="D41" i="34"/>
  <c r="T40" i="34"/>
  <c r="I40" i="34"/>
  <c r="D40" i="34"/>
  <c r="T39" i="34"/>
  <c r="I39" i="34"/>
  <c r="D39" i="34"/>
  <c r="T38" i="34"/>
  <c r="I38" i="34"/>
  <c r="D38" i="34"/>
  <c r="T37" i="34"/>
  <c r="I37" i="34"/>
  <c r="D37" i="34"/>
  <c r="T36" i="34"/>
  <c r="I36" i="34"/>
  <c r="D36" i="34"/>
  <c r="T35" i="34"/>
  <c r="I35" i="34"/>
  <c r="D35" i="34"/>
  <c r="T34" i="34"/>
  <c r="I34" i="34"/>
  <c r="D34" i="34"/>
  <c r="T33" i="34"/>
  <c r="I33" i="34"/>
  <c r="D33" i="34"/>
  <c r="T32" i="34"/>
  <c r="I32" i="34"/>
  <c r="D32" i="34"/>
  <c r="T31" i="34"/>
  <c r="I31" i="34"/>
  <c r="D31" i="34"/>
  <c r="T30" i="34"/>
  <c r="I30" i="34"/>
  <c r="D30" i="34"/>
  <c r="T29" i="34"/>
  <c r="I29" i="34"/>
  <c r="D29" i="34"/>
  <c r="T28" i="34"/>
  <c r="I28" i="34"/>
  <c r="D28" i="34"/>
  <c r="T27" i="34"/>
  <c r="I27" i="34"/>
  <c r="D27" i="34"/>
  <c r="T26" i="34"/>
  <c r="I26" i="34"/>
  <c r="D26" i="34"/>
  <c r="T25" i="34"/>
  <c r="I25" i="34"/>
  <c r="D25" i="34"/>
  <c r="T24" i="34"/>
  <c r="I24" i="34"/>
  <c r="D24" i="34"/>
  <c r="T23" i="34"/>
  <c r="I23" i="34"/>
  <c r="D23" i="34"/>
  <c r="T22" i="34"/>
  <c r="I22" i="34"/>
  <c r="D22" i="34"/>
  <c r="T21" i="34"/>
  <c r="I21" i="34"/>
  <c r="D21" i="34"/>
  <c r="T20" i="34"/>
  <c r="I20" i="34"/>
  <c r="D20" i="34"/>
  <c r="T19" i="34"/>
  <c r="I19" i="34"/>
  <c r="D19" i="34"/>
  <c r="T18" i="34"/>
  <c r="I18" i="34"/>
  <c r="D18" i="34"/>
  <c r="T17" i="34"/>
  <c r="I17" i="34"/>
  <c r="D17" i="34"/>
  <c r="T16" i="34"/>
  <c r="I16" i="34"/>
  <c r="D16" i="34"/>
  <c r="T15" i="34"/>
  <c r="I15" i="34"/>
  <c r="D15" i="34"/>
  <c r="T14" i="34"/>
  <c r="I14" i="34"/>
  <c r="D14" i="34"/>
  <c r="T13" i="34"/>
  <c r="I13" i="34"/>
  <c r="D13" i="34"/>
  <c r="T12" i="34"/>
  <c r="I12" i="34"/>
  <c r="D12" i="34"/>
  <c r="T11" i="34"/>
  <c r="I11" i="34"/>
  <c r="D11" i="34"/>
  <c r="T10" i="34"/>
  <c r="I10" i="34"/>
  <c r="D10" i="34"/>
  <c r="T9" i="34"/>
  <c r="I9" i="34"/>
  <c r="D9" i="34"/>
  <c r="T8" i="34"/>
  <c r="I8" i="34"/>
  <c r="D8" i="34"/>
  <c r="Q7" i="34"/>
  <c r="I7" i="34"/>
  <c r="D7" i="34"/>
  <c r="H5" i="34"/>
  <c r="F5" i="34"/>
  <c r="H4" i="34"/>
  <c r="F4" i="34"/>
  <c r="H3" i="34"/>
  <c r="F3" i="34"/>
  <c r="H2" i="34"/>
  <c r="C2" i="34"/>
  <c r="T342" i="33"/>
  <c r="T341" i="33"/>
  <c r="T340" i="33"/>
  <c r="T339" i="33"/>
  <c r="T338" i="33"/>
  <c r="T337" i="33"/>
  <c r="T336" i="33"/>
  <c r="T335" i="33"/>
  <c r="T334" i="33"/>
  <c r="T333" i="33"/>
  <c r="T332" i="33"/>
  <c r="T331" i="33"/>
  <c r="T330" i="33"/>
  <c r="T329" i="33"/>
  <c r="T328" i="33"/>
  <c r="T327" i="33"/>
  <c r="T326" i="33"/>
  <c r="T325" i="33"/>
  <c r="T324" i="33"/>
  <c r="T323" i="33"/>
  <c r="T322" i="33"/>
  <c r="T321" i="33"/>
  <c r="T320" i="33"/>
  <c r="T319" i="33"/>
  <c r="T318" i="33"/>
  <c r="T317" i="33"/>
  <c r="T316" i="33"/>
  <c r="T315" i="33"/>
  <c r="T314" i="33"/>
  <c r="T313" i="33"/>
  <c r="T312" i="33"/>
  <c r="T311" i="33"/>
  <c r="T310" i="33"/>
  <c r="T309" i="33"/>
  <c r="T308" i="33"/>
  <c r="T307" i="33"/>
  <c r="T306" i="33"/>
  <c r="T305" i="33"/>
  <c r="T304" i="33"/>
  <c r="T303" i="33"/>
  <c r="T302" i="33"/>
  <c r="T301" i="33"/>
  <c r="T300" i="33"/>
  <c r="T299" i="33"/>
  <c r="T298" i="33"/>
  <c r="T297" i="33"/>
  <c r="T296" i="33"/>
  <c r="T295" i="33"/>
  <c r="T294" i="33"/>
  <c r="T293" i="33"/>
  <c r="T292" i="33"/>
  <c r="T291" i="33"/>
  <c r="T290" i="33"/>
  <c r="T289" i="33"/>
  <c r="T288" i="33"/>
  <c r="T287" i="33"/>
  <c r="T286" i="33"/>
  <c r="T285" i="33"/>
  <c r="T284" i="33"/>
  <c r="T283" i="33"/>
  <c r="T282" i="33"/>
  <c r="T281" i="33"/>
  <c r="T280" i="33"/>
  <c r="T279" i="33"/>
  <c r="T278" i="33"/>
  <c r="T277" i="33"/>
  <c r="T276" i="33"/>
  <c r="T275" i="33"/>
  <c r="T274" i="33"/>
  <c r="T273" i="33"/>
  <c r="T272" i="33"/>
  <c r="T271" i="33"/>
  <c r="T270" i="33"/>
  <c r="T269" i="33"/>
  <c r="T268" i="33"/>
  <c r="T267" i="33"/>
  <c r="T266" i="33"/>
  <c r="T265" i="33"/>
  <c r="T264" i="33"/>
  <c r="T263" i="33"/>
  <c r="T262" i="33"/>
  <c r="T261" i="33"/>
  <c r="T260" i="33"/>
  <c r="T259" i="33"/>
  <c r="T258" i="33"/>
  <c r="T257" i="33"/>
  <c r="T256" i="33"/>
  <c r="T255" i="33"/>
  <c r="T254" i="33"/>
  <c r="T253" i="33"/>
  <c r="T252" i="33"/>
  <c r="T251" i="33"/>
  <c r="T250" i="33"/>
  <c r="T249" i="33"/>
  <c r="T248" i="33"/>
  <c r="T247" i="33"/>
  <c r="T246" i="33"/>
  <c r="T245" i="33"/>
  <c r="T244" i="33"/>
  <c r="T243" i="33"/>
  <c r="T242" i="33"/>
  <c r="T241" i="33"/>
  <c r="T240" i="33"/>
  <c r="T239" i="33"/>
  <c r="T238" i="33"/>
  <c r="T237" i="33"/>
  <c r="T236" i="33"/>
  <c r="T235" i="33"/>
  <c r="T234" i="33"/>
  <c r="T233" i="33"/>
  <c r="T232" i="33"/>
  <c r="T231" i="33"/>
  <c r="T230" i="33"/>
  <c r="T229" i="33"/>
  <c r="T228" i="33"/>
  <c r="T227" i="33"/>
  <c r="T226" i="33"/>
  <c r="T225" i="33"/>
  <c r="T224" i="33"/>
  <c r="T223" i="33"/>
  <c r="T222" i="33"/>
  <c r="T221" i="33"/>
  <c r="T220" i="33"/>
  <c r="T219" i="33"/>
  <c r="T218" i="33"/>
  <c r="T217" i="33"/>
  <c r="T216" i="33"/>
  <c r="T215" i="33"/>
  <c r="T214" i="33"/>
  <c r="T213" i="33"/>
  <c r="T212" i="33"/>
  <c r="T211" i="33"/>
  <c r="T210" i="33"/>
  <c r="T209" i="33"/>
  <c r="T208" i="33"/>
  <c r="T207" i="33"/>
  <c r="T206" i="33"/>
  <c r="T205" i="33"/>
  <c r="T204" i="33"/>
  <c r="T203" i="33"/>
  <c r="T202" i="33"/>
  <c r="T201" i="33"/>
  <c r="T200" i="33"/>
  <c r="T199" i="33"/>
  <c r="T198" i="33"/>
  <c r="T197" i="33"/>
  <c r="T196" i="33"/>
  <c r="T195" i="33"/>
  <c r="T194" i="33"/>
  <c r="T193" i="33"/>
  <c r="T192" i="33"/>
  <c r="T191" i="33"/>
  <c r="T190" i="33"/>
  <c r="T189" i="33"/>
  <c r="T188" i="33"/>
  <c r="T187" i="33"/>
  <c r="T186" i="33"/>
  <c r="T185" i="33"/>
  <c r="T184" i="33"/>
  <c r="T183" i="33"/>
  <c r="T182" i="33"/>
  <c r="T181" i="33"/>
  <c r="T180" i="33"/>
  <c r="T179" i="33"/>
  <c r="T178" i="33"/>
  <c r="T177" i="33"/>
  <c r="T176" i="33"/>
  <c r="T175" i="33"/>
  <c r="T174" i="33"/>
  <c r="T173" i="33"/>
  <c r="T172" i="33"/>
  <c r="T171" i="33"/>
  <c r="T170" i="33"/>
  <c r="T169" i="33"/>
  <c r="T168" i="33"/>
  <c r="T167" i="33"/>
  <c r="T166" i="33"/>
  <c r="T165" i="33"/>
  <c r="T164" i="33"/>
  <c r="T163" i="33"/>
  <c r="T162" i="33"/>
  <c r="T161" i="33"/>
  <c r="T160" i="33"/>
  <c r="T159" i="33"/>
  <c r="T158" i="33"/>
  <c r="T157" i="33"/>
  <c r="T156" i="33"/>
  <c r="T155" i="33"/>
  <c r="T154" i="33"/>
  <c r="T153" i="33"/>
  <c r="T152" i="33"/>
  <c r="T151" i="33"/>
  <c r="T150" i="33"/>
  <c r="T149" i="33"/>
  <c r="T148" i="33"/>
  <c r="T147" i="33"/>
  <c r="T146" i="33"/>
  <c r="T145" i="33"/>
  <c r="T144" i="33"/>
  <c r="T143" i="33"/>
  <c r="T142" i="33"/>
  <c r="T141" i="33"/>
  <c r="T140" i="33"/>
  <c r="T139" i="33"/>
  <c r="T138" i="33"/>
  <c r="T137" i="33"/>
  <c r="T136" i="33"/>
  <c r="T135" i="33"/>
  <c r="T134" i="33"/>
  <c r="T133" i="33"/>
  <c r="T132" i="33"/>
  <c r="T131" i="33"/>
  <c r="T130" i="33"/>
  <c r="T129" i="33"/>
  <c r="T128" i="33"/>
  <c r="T127" i="33"/>
  <c r="T126" i="33"/>
  <c r="T125" i="33"/>
  <c r="T124" i="33"/>
  <c r="T123" i="33"/>
  <c r="T122" i="33"/>
  <c r="T121" i="33"/>
  <c r="T120" i="33"/>
  <c r="T119" i="33"/>
  <c r="T118" i="33"/>
  <c r="T117" i="33"/>
  <c r="T116" i="33"/>
  <c r="T115" i="33"/>
  <c r="T114" i="33"/>
  <c r="T113" i="33"/>
  <c r="T112" i="33"/>
  <c r="T111" i="33"/>
  <c r="T110" i="33"/>
  <c r="T109" i="33"/>
  <c r="T108" i="33"/>
  <c r="T107" i="33"/>
  <c r="T106" i="33"/>
  <c r="T105" i="33"/>
  <c r="T104" i="33"/>
  <c r="T103" i="33"/>
  <c r="T102" i="33"/>
  <c r="T101" i="33"/>
  <c r="T100" i="33"/>
  <c r="T99" i="33"/>
  <c r="T98" i="33"/>
  <c r="T97" i="33"/>
  <c r="T96" i="33"/>
  <c r="T95" i="33"/>
  <c r="T94" i="33"/>
  <c r="T93" i="33"/>
  <c r="T92" i="33"/>
  <c r="T91" i="33"/>
  <c r="T90" i="33"/>
  <c r="T89" i="33"/>
  <c r="T88" i="33"/>
  <c r="T87" i="33"/>
  <c r="T86" i="33"/>
  <c r="T85" i="33"/>
  <c r="T84" i="33"/>
  <c r="T83" i="33"/>
  <c r="T82" i="33"/>
  <c r="T81" i="33"/>
  <c r="T80" i="33"/>
  <c r="T79" i="33"/>
  <c r="T78" i="33"/>
  <c r="T77" i="33"/>
  <c r="T76" i="33"/>
  <c r="T75" i="33"/>
  <c r="T74" i="33"/>
  <c r="T73" i="33"/>
  <c r="T72" i="33"/>
  <c r="T71" i="33"/>
  <c r="T70" i="33"/>
  <c r="T69" i="33"/>
  <c r="T68" i="33"/>
  <c r="T67" i="33"/>
  <c r="T66" i="33"/>
  <c r="T65" i="33"/>
  <c r="T64" i="33"/>
  <c r="T63" i="33"/>
  <c r="T62" i="33"/>
  <c r="T61" i="33"/>
  <c r="T60" i="33"/>
  <c r="T59" i="33"/>
  <c r="T58" i="33"/>
  <c r="T57" i="33"/>
  <c r="T56" i="33"/>
  <c r="T55" i="33"/>
  <c r="T54" i="33"/>
  <c r="T53" i="33"/>
  <c r="F53" i="33"/>
  <c r="T52" i="33"/>
  <c r="T51" i="33"/>
  <c r="T50" i="33"/>
  <c r="T49" i="33"/>
  <c r="T48" i="33"/>
  <c r="I48" i="33"/>
  <c r="D48" i="33"/>
  <c r="T47" i="33"/>
  <c r="I47" i="33"/>
  <c r="D47" i="33"/>
  <c r="T46" i="33"/>
  <c r="I46" i="33"/>
  <c r="D46" i="33"/>
  <c r="T45" i="33"/>
  <c r="I45" i="33"/>
  <c r="D45" i="33"/>
  <c r="T44" i="33"/>
  <c r="I44" i="33"/>
  <c r="D44" i="33"/>
  <c r="T43" i="33"/>
  <c r="I43" i="33"/>
  <c r="D43" i="33"/>
  <c r="T42" i="33"/>
  <c r="I42" i="33"/>
  <c r="D42" i="33"/>
  <c r="T41" i="33"/>
  <c r="I41" i="33"/>
  <c r="D41" i="33"/>
  <c r="T40" i="33"/>
  <c r="I40" i="33"/>
  <c r="D40" i="33"/>
  <c r="T39" i="33"/>
  <c r="I39" i="33"/>
  <c r="D39" i="33"/>
  <c r="T38" i="33"/>
  <c r="I38" i="33"/>
  <c r="D38" i="33"/>
  <c r="T37" i="33"/>
  <c r="I37" i="33"/>
  <c r="D37" i="33"/>
  <c r="T36" i="33"/>
  <c r="I36" i="33"/>
  <c r="D36" i="33"/>
  <c r="T35" i="33"/>
  <c r="I35" i="33"/>
  <c r="D35" i="33"/>
  <c r="T34" i="33"/>
  <c r="I34" i="33"/>
  <c r="D34" i="33"/>
  <c r="T33" i="33"/>
  <c r="I33" i="33"/>
  <c r="D33" i="33"/>
  <c r="T32" i="33"/>
  <c r="I32" i="33"/>
  <c r="D32" i="33"/>
  <c r="T31" i="33"/>
  <c r="I31" i="33"/>
  <c r="D31" i="33"/>
  <c r="T30" i="33"/>
  <c r="I30" i="33"/>
  <c r="D30" i="33"/>
  <c r="T29" i="33"/>
  <c r="I29" i="33"/>
  <c r="D29" i="33"/>
  <c r="T28" i="33"/>
  <c r="I28" i="33"/>
  <c r="D28" i="33"/>
  <c r="T27" i="33"/>
  <c r="I27" i="33"/>
  <c r="D27" i="33"/>
  <c r="T26" i="33"/>
  <c r="I26" i="33"/>
  <c r="D26" i="33"/>
  <c r="T25" i="33"/>
  <c r="I25" i="33"/>
  <c r="D25" i="33"/>
  <c r="T24" i="33"/>
  <c r="I24" i="33"/>
  <c r="D24" i="33"/>
  <c r="T23" i="33"/>
  <c r="I23" i="33"/>
  <c r="D23" i="33"/>
  <c r="T22" i="33"/>
  <c r="I22" i="33"/>
  <c r="D22" i="33"/>
  <c r="T21" i="33"/>
  <c r="I21" i="33"/>
  <c r="D21" i="33"/>
  <c r="T20" i="33"/>
  <c r="I20" i="33"/>
  <c r="D20" i="33"/>
  <c r="T19" i="33"/>
  <c r="I19" i="33"/>
  <c r="D19" i="33"/>
  <c r="T18" i="33"/>
  <c r="I18" i="33"/>
  <c r="D18" i="33"/>
  <c r="T17" i="33"/>
  <c r="I17" i="33"/>
  <c r="D17" i="33"/>
  <c r="T16" i="33"/>
  <c r="I16" i="33"/>
  <c r="D16" i="33"/>
  <c r="T15" i="33"/>
  <c r="I15" i="33"/>
  <c r="D15" i="33"/>
  <c r="T14" i="33"/>
  <c r="I14" i="33"/>
  <c r="D14" i="33"/>
  <c r="T13" i="33"/>
  <c r="I13" i="33"/>
  <c r="D13" i="33"/>
  <c r="T12" i="33"/>
  <c r="I12" i="33"/>
  <c r="D12" i="33"/>
  <c r="T11" i="33"/>
  <c r="I11" i="33"/>
  <c r="D11" i="33"/>
  <c r="T10" i="33"/>
  <c r="I10" i="33"/>
  <c r="D10" i="33"/>
  <c r="T9" i="33"/>
  <c r="I9" i="33"/>
  <c r="D9" i="33"/>
  <c r="T8" i="33"/>
  <c r="I8" i="33"/>
  <c r="D8" i="33"/>
  <c r="Q7" i="33"/>
  <c r="I7" i="33"/>
  <c r="D7" i="33"/>
  <c r="H5" i="33"/>
  <c r="F5" i="33"/>
  <c r="H4" i="33"/>
  <c r="F4" i="33"/>
  <c r="H3" i="33"/>
  <c r="F3" i="33"/>
  <c r="H2" i="33"/>
  <c r="C2" i="33"/>
  <c r="T342" i="32"/>
  <c r="T341" i="32"/>
  <c r="T340" i="32"/>
  <c r="T339" i="32"/>
  <c r="T338" i="32"/>
  <c r="T337" i="32"/>
  <c r="T336" i="32"/>
  <c r="T335" i="32"/>
  <c r="T334" i="32"/>
  <c r="T333" i="32"/>
  <c r="T332" i="32"/>
  <c r="T331" i="32"/>
  <c r="T330" i="32"/>
  <c r="T329" i="32"/>
  <c r="T328" i="32"/>
  <c r="T327" i="32"/>
  <c r="T326" i="32"/>
  <c r="T325" i="32"/>
  <c r="T324" i="32"/>
  <c r="T323" i="32"/>
  <c r="T322" i="32"/>
  <c r="T321" i="32"/>
  <c r="T320" i="32"/>
  <c r="T319" i="32"/>
  <c r="T318" i="32"/>
  <c r="T317" i="32"/>
  <c r="T316" i="32"/>
  <c r="T315" i="32"/>
  <c r="T314" i="32"/>
  <c r="T313" i="32"/>
  <c r="T312" i="32"/>
  <c r="T311" i="32"/>
  <c r="T310" i="32"/>
  <c r="T309" i="32"/>
  <c r="T308" i="32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4" i="32"/>
  <c r="T293" i="32"/>
  <c r="T292" i="32"/>
  <c r="T291" i="32"/>
  <c r="T290" i="32"/>
  <c r="T289" i="32"/>
  <c r="T288" i="32"/>
  <c r="T287" i="32"/>
  <c r="T286" i="32"/>
  <c r="T285" i="32"/>
  <c r="T284" i="32"/>
  <c r="T283" i="32"/>
  <c r="T282" i="32"/>
  <c r="T281" i="32"/>
  <c r="T280" i="32"/>
  <c r="T279" i="32"/>
  <c r="T278" i="32"/>
  <c r="T277" i="32"/>
  <c r="T276" i="32"/>
  <c r="T275" i="32"/>
  <c r="T274" i="32"/>
  <c r="T273" i="32"/>
  <c r="T272" i="32"/>
  <c r="T271" i="32"/>
  <c r="T270" i="32"/>
  <c r="T269" i="32"/>
  <c r="T268" i="32"/>
  <c r="T267" i="32"/>
  <c r="T266" i="32"/>
  <c r="T265" i="32"/>
  <c r="T264" i="32"/>
  <c r="T263" i="32"/>
  <c r="T262" i="32"/>
  <c r="T261" i="32"/>
  <c r="T260" i="32"/>
  <c r="T259" i="32"/>
  <c r="T258" i="32"/>
  <c r="T257" i="32"/>
  <c r="T256" i="32"/>
  <c r="T255" i="32"/>
  <c r="T254" i="32"/>
  <c r="T253" i="32"/>
  <c r="T252" i="32"/>
  <c r="T251" i="32"/>
  <c r="T250" i="32"/>
  <c r="T249" i="32"/>
  <c r="T248" i="32"/>
  <c r="T247" i="32"/>
  <c r="T246" i="32"/>
  <c r="T245" i="32"/>
  <c r="T244" i="32"/>
  <c r="T243" i="32"/>
  <c r="T242" i="32"/>
  <c r="T241" i="32"/>
  <c r="T240" i="32"/>
  <c r="T239" i="32"/>
  <c r="T238" i="32"/>
  <c r="T237" i="32"/>
  <c r="T236" i="32"/>
  <c r="T235" i="32"/>
  <c r="T234" i="32"/>
  <c r="T233" i="32"/>
  <c r="T232" i="32"/>
  <c r="T231" i="32"/>
  <c r="T230" i="32"/>
  <c r="T229" i="32"/>
  <c r="T228" i="32"/>
  <c r="T227" i="32"/>
  <c r="T226" i="32"/>
  <c r="T225" i="32"/>
  <c r="T224" i="32"/>
  <c r="T223" i="32"/>
  <c r="T222" i="32"/>
  <c r="T221" i="32"/>
  <c r="T220" i="32"/>
  <c r="T219" i="32"/>
  <c r="T218" i="32"/>
  <c r="T217" i="32"/>
  <c r="T216" i="32"/>
  <c r="T215" i="32"/>
  <c r="T214" i="32"/>
  <c r="T213" i="32"/>
  <c r="T212" i="32"/>
  <c r="T211" i="32"/>
  <c r="T210" i="32"/>
  <c r="T209" i="32"/>
  <c r="T208" i="32"/>
  <c r="T207" i="32"/>
  <c r="T206" i="32"/>
  <c r="T205" i="32"/>
  <c r="T204" i="32"/>
  <c r="T203" i="32"/>
  <c r="T202" i="32"/>
  <c r="T201" i="32"/>
  <c r="T200" i="32"/>
  <c r="T199" i="32"/>
  <c r="T198" i="32"/>
  <c r="T197" i="32"/>
  <c r="T196" i="32"/>
  <c r="T195" i="32"/>
  <c r="T194" i="32"/>
  <c r="T193" i="32"/>
  <c r="T192" i="32"/>
  <c r="T191" i="32"/>
  <c r="T190" i="32"/>
  <c r="T189" i="32"/>
  <c r="T188" i="32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74" i="32"/>
  <c r="T173" i="32"/>
  <c r="T172" i="32"/>
  <c r="T171" i="32"/>
  <c r="T170" i="32"/>
  <c r="T169" i="32"/>
  <c r="T168" i="32"/>
  <c r="T167" i="32"/>
  <c r="T166" i="32"/>
  <c r="T165" i="32"/>
  <c r="T164" i="32"/>
  <c r="T163" i="32"/>
  <c r="T162" i="32"/>
  <c r="T161" i="32"/>
  <c r="T160" i="32"/>
  <c r="T159" i="32"/>
  <c r="T158" i="32"/>
  <c r="T157" i="32"/>
  <c r="T156" i="32"/>
  <c r="T155" i="32"/>
  <c r="T154" i="32"/>
  <c r="T153" i="32"/>
  <c r="T152" i="32"/>
  <c r="T151" i="32"/>
  <c r="T150" i="32"/>
  <c r="T149" i="32"/>
  <c r="T148" i="32"/>
  <c r="T147" i="32"/>
  <c r="T146" i="32"/>
  <c r="T145" i="32"/>
  <c r="T144" i="32"/>
  <c r="T143" i="32"/>
  <c r="T142" i="32"/>
  <c r="T141" i="32"/>
  <c r="T140" i="32"/>
  <c r="T139" i="32"/>
  <c r="T138" i="32"/>
  <c r="T137" i="32"/>
  <c r="T136" i="32"/>
  <c r="T135" i="32"/>
  <c r="T134" i="32"/>
  <c r="T133" i="32"/>
  <c r="T132" i="32"/>
  <c r="T131" i="32"/>
  <c r="T130" i="32"/>
  <c r="T129" i="32"/>
  <c r="T128" i="32"/>
  <c r="T127" i="32"/>
  <c r="T126" i="32"/>
  <c r="T125" i="32"/>
  <c r="T124" i="32"/>
  <c r="T123" i="32"/>
  <c r="T122" i="32"/>
  <c r="T121" i="32"/>
  <c r="T120" i="32"/>
  <c r="T119" i="32"/>
  <c r="T118" i="32"/>
  <c r="T117" i="32"/>
  <c r="T116" i="32"/>
  <c r="T115" i="32"/>
  <c r="T114" i="32"/>
  <c r="T113" i="32"/>
  <c r="T112" i="32"/>
  <c r="T111" i="32"/>
  <c r="T110" i="32"/>
  <c r="T109" i="32"/>
  <c r="T108" i="32"/>
  <c r="T107" i="32"/>
  <c r="T106" i="32"/>
  <c r="T105" i="32"/>
  <c r="T104" i="32"/>
  <c r="T103" i="32"/>
  <c r="T102" i="32"/>
  <c r="T101" i="32"/>
  <c r="T100" i="32"/>
  <c r="T99" i="32"/>
  <c r="T98" i="32"/>
  <c r="T97" i="32"/>
  <c r="T96" i="32"/>
  <c r="T95" i="32"/>
  <c r="T94" i="32"/>
  <c r="T93" i="32"/>
  <c r="T92" i="32"/>
  <c r="T91" i="32"/>
  <c r="T90" i="32"/>
  <c r="T89" i="32"/>
  <c r="T88" i="32"/>
  <c r="T87" i="32"/>
  <c r="T86" i="32"/>
  <c r="T85" i="32"/>
  <c r="T84" i="32"/>
  <c r="T83" i="32"/>
  <c r="T82" i="32"/>
  <c r="T81" i="32"/>
  <c r="T80" i="32"/>
  <c r="T79" i="32"/>
  <c r="T78" i="32"/>
  <c r="T77" i="32"/>
  <c r="T76" i="32"/>
  <c r="T75" i="32"/>
  <c r="T74" i="32"/>
  <c r="T73" i="32"/>
  <c r="T72" i="32"/>
  <c r="T71" i="32"/>
  <c r="T70" i="32"/>
  <c r="T69" i="32"/>
  <c r="T68" i="32"/>
  <c r="T67" i="32"/>
  <c r="T66" i="32"/>
  <c r="T65" i="32"/>
  <c r="T64" i="32"/>
  <c r="T63" i="32"/>
  <c r="T62" i="32"/>
  <c r="T61" i="32"/>
  <c r="T60" i="32"/>
  <c r="T59" i="32"/>
  <c r="T58" i="32"/>
  <c r="T57" i="32"/>
  <c r="T56" i="32"/>
  <c r="T55" i="32"/>
  <c r="T54" i="32"/>
  <c r="T53" i="32"/>
  <c r="F53" i="32"/>
  <c r="T52" i="32"/>
  <c r="T51" i="32"/>
  <c r="T50" i="32"/>
  <c r="T49" i="32"/>
  <c r="T48" i="32"/>
  <c r="I48" i="32"/>
  <c r="D48" i="32"/>
  <c r="T47" i="32"/>
  <c r="I47" i="32"/>
  <c r="D47" i="32"/>
  <c r="T46" i="32"/>
  <c r="I46" i="32"/>
  <c r="D46" i="32"/>
  <c r="T45" i="32"/>
  <c r="I45" i="32"/>
  <c r="D45" i="32"/>
  <c r="T44" i="32"/>
  <c r="I44" i="32"/>
  <c r="D44" i="32"/>
  <c r="T43" i="32"/>
  <c r="I43" i="32"/>
  <c r="D43" i="32"/>
  <c r="T42" i="32"/>
  <c r="I42" i="32"/>
  <c r="D42" i="32"/>
  <c r="T41" i="32"/>
  <c r="I41" i="32"/>
  <c r="D41" i="32"/>
  <c r="T40" i="32"/>
  <c r="I40" i="32"/>
  <c r="D40" i="32"/>
  <c r="T39" i="32"/>
  <c r="I39" i="32"/>
  <c r="D39" i="32"/>
  <c r="T38" i="32"/>
  <c r="I38" i="32"/>
  <c r="D38" i="32"/>
  <c r="T37" i="32"/>
  <c r="I37" i="32"/>
  <c r="D37" i="32"/>
  <c r="T36" i="32"/>
  <c r="I36" i="32"/>
  <c r="D36" i="32"/>
  <c r="T35" i="32"/>
  <c r="I35" i="32"/>
  <c r="D35" i="32"/>
  <c r="T34" i="32"/>
  <c r="I34" i="32"/>
  <c r="D34" i="32"/>
  <c r="T33" i="32"/>
  <c r="I33" i="32"/>
  <c r="D33" i="32"/>
  <c r="T32" i="32"/>
  <c r="I32" i="32"/>
  <c r="D32" i="32"/>
  <c r="T31" i="32"/>
  <c r="I31" i="32"/>
  <c r="D31" i="32"/>
  <c r="T30" i="32"/>
  <c r="I30" i="32"/>
  <c r="D30" i="32"/>
  <c r="T29" i="32"/>
  <c r="I29" i="32"/>
  <c r="D29" i="32"/>
  <c r="T28" i="32"/>
  <c r="I28" i="32"/>
  <c r="D28" i="32"/>
  <c r="T27" i="32"/>
  <c r="I27" i="32"/>
  <c r="D27" i="32"/>
  <c r="T26" i="32"/>
  <c r="I26" i="32"/>
  <c r="D26" i="32"/>
  <c r="T25" i="32"/>
  <c r="I25" i="32"/>
  <c r="D25" i="32"/>
  <c r="T24" i="32"/>
  <c r="I24" i="32"/>
  <c r="D24" i="32"/>
  <c r="T23" i="32"/>
  <c r="I23" i="32"/>
  <c r="D23" i="32"/>
  <c r="T22" i="32"/>
  <c r="I22" i="32"/>
  <c r="D22" i="32"/>
  <c r="T21" i="32"/>
  <c r="I21" i="32"/>
  <c r="D21" i="32"/>
  <c r="T20" i="32"/>
  <c r="I20" i="32"/>
  <c r="D20" i="32"/>
  <c r="T19" i="32"/>
  <c r="I19" i="32"/>
  <c r="D19" i="32"/>
  <c r="T18" i="32"/>
  <c r="I18" i="32"/>
  <c r="D18" i="32"/>
  <c r="T17" i="32"/>
  <c r="I17" i="32"/>
  <c r="D17" i="32"/>
  <c r="T16" i="32"/>
  <c r="I16" i="32"/>
  <c r="D16" i="32"/>
  <c r="T15" i="32"/>
  <c r="I15" i="32"/>
  <c r="D15" i="32"/>
  <c r="T14" i="32"/>
  <c r="I14" i="32"/>
  <c r="D14" i="32"/>
  <c r="T13" i="32"/>
  <c r="I13" i="32"/>
  <c r="D13" i="32"/>
  <c r="T12" i="32"/>
  <c r="I12" i="32"/>
  <c r="D12" i="32"/>
  <c r="T11" i="32"/>
  <c r="I11" i="32"/>
  <c r="D11" i="32"/>
  <c r="T10" i="32"/>
  <c r="I10" i="32"/>
  <c r="D10" i="32"/>
  <c r="T9" i="32"/>
  <c r="I9" i="32"/>
  <c r="D9" i="32"/>
  <c r="T8" i="32"/>
  <c r="I8" i="32"/>
  <c r="D8" i="32"/>
  <c r="Q7" i="32"/>
  <c r="I7" i="32"/>
  <c r="D7" i="32"/>
  <c r="H5" i="32"/>
  <c r="F5" i="32"/>
  <c r="H4" i="32"/>
  <c r="F4" i="32"/>
  <c r="H3" i="32"/>
  <c r="F3" i="32"/>
  <c r="H2" i="32"/>
  <c r="C2" i="32"/>
  <c r="C2" i="16"/>
  <c r="H2" i="16"/>
  <c r="F3" i="16"/>
  <c r="H3" i="16"/>
  <c r="F4" i="16"/>
  <c r="H4" i="16"/>
  <c r="F5" i="16"/>
  <c r="H5" i="16"/>
  <c r="D7" i="16"/>
  <c r="I7" i="16"/>
  <c r="Q7" i="16"/>
  <c r="D8" i="16"/>
  <c r="I8" i="16"/>
  <c r="T8" i="16"/>
  <c r="D9" i="16"/>
  <c r="I9" i="16"/>
  <c r="T9" i="16"/>
  <c r="D10" i="16"/>
  <c r="I10" i="16"/>
  <c r="T10" i="16"/>
  <c r="D11" i="16"/>
  <c r="I11" i="16"/>
  <c r="T11" i="16"/>
  <c r="D12" i="16"/>
  <c r="I12" i="16"/>
  <c r="T12" i="16"/>
  <c r="D13" i="16"/>
  <c r="I13" i="16"/>
  <c r="T13" i="16"/>
  <c r="D14" i="16"/>
  <c r="I14" i="16"/>
  <c r="T14" i="16"/>
  <c r="D15" i="16"/>
  <c r="I15" i="16"/>
  <c r="T15" i="16"/>
  <c r="D16" i="16"/>
  <c r="I16" i="16"/>
  <c r="T16" i="16"/>
  <c r="D17" i="16"/>
  <c r="I17" i="16"/>
  <c r="T17" i="16"/>
  <c r="D18" i="16"/>
  <c r="I18" i="16"/>
  <c r="T18" i="16"/>
  <c r="D19" i="16"/>
  <c r="I19" i="16"/>
  <c r="T19" i="16"/>
  <c r="D20" i="16"/>
  <c r="I20" i="16"/>
  <c r="T20" i="16"/>
  <c r="D21" i="16"/>
  <c r="I21" i="16"/>
  <c r="T21" i="16"/>
  <c r="D22" i="16"/>
  <c r="I22" i="16"/>
  <c r="T22" i="16"/>
  <c r="D23" i="16"/>
  <c r="I23" i="16"/>
  <c r="T23" i="16"/>
  <c r="D24" i="16"/>
  <c r="I24" i="16"/>
  <c r="T24" i="16"/>
  <c r="D25" i="16"/>
  <c r="I25" i="16"/>
  <c r="T25" i="16"/>
  <c r="D26" i="16"/>
  <c r="I26" i="16"/>
  <c r="T26" i="16"/>
  <c r="D27" i="16"/>
  <c r="I27" i="16"/>
  <c r="T27" i="16"/>
  <c r="D28" i="16"/>
  <c r="I28" i="16"/>
  <c r="T28" i="16"/>
  <c r="D29" i="16"/>
  <c r="I29" i="16"/>
  <c r="T29" i="16"/>
  <c r="D30" i="16"/>
  <c r="I30" i="16"/>
  <c r="T30" i="16"/>
  <c r="D31" i="16"/>
  <c r="I31" i="16"/>
  <c r="T31" i="16"/>
  <c r="D32" i="16"/>
  <c r="I32" i="16"/>
  <c r="T32" i="16"/>
  <c r="D33" i="16"/>
  <c r="I33" i="16"/>
  <c r="T33" i="16"/>
  <c r="D34" i="16"/>
  <c r="I34" i="16"/>
  <c r="T34" i="16"/>
  <c r="D35" i="16"/>
  <c r="I35" i="16"/>
  <c r="T35" i="16"/>
  <c r="D36" i="16"/>
  <c r="I36" i="16"/>
  <c r="T36" i="16"/>
  <c r="D37" i="16"/>
  <c r="I37" i="16"/>
  <c r="T37" i="16"/>
  <c r="D38" i="16"/>
  <c r="I38" i="16"/>
  <c r="T38" i="16"/>
  <c r="D39" i="16"/>
  <c r="I39" i="16"/>
  <c r="T39" i="16"/>
  <c r="D40" i="16"/>
  <c r="I40" i="16"/>
  <c r="T40" i="16"/>
  <c r="D41" i="16"/>
  <c r="I41" i="16"/>
  <c r="T41" i="16"/>
  <c r="D42" i="16"/>
  <c r="I42" i="16"/>
  <c r="T42" i="16"/>
  <c r="D43" i="16"/>
  <c r="I43" i="16"/>
  <c r="T43" i="16"/>
  <c r="D44" i="16"/>
  <c r="I44" i="16"/>
  <c r="T44" i="16"/>
  <c r="D45" i="16"/>
  <c r="I45" i="16"/>
  <c r="T45" i="16"/>
  <c r="D46" i="16"/>
  <c r="I46" i="16"/>
  <c r="T46" i="16"/>
  <c r="D47" i="16"/>
  <c r="I47" i="16"/>
  <c r="T47" i="16"/>
  <c r="D48" i="16"/>
  <c r="I48" i="16"/>
  <c r="T48" i="16"/>
  <c r="T49" i="16"/>
  <c r="T50" i="16"/>
  <c r="T51" i="16"/>
  <c r="T52" i="16"/>
  <c r="F53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</calcChain>
</file>

<file path=xl/sharedStrings.xml><?xml version="1.0" encoding="utf-8"?>
<sst xmlns="http://schemas.openxmlformats.org/spreadsheetml/2006/main" count="7120" uniqueCount="26">
  <si>
    <t>FLOOR:</t>
  </si>
  <si>
    <t>VOLTAGE:</t>
  </si>
  <si>
    <t>ROOM:</t>
  </si>
  <si>
    <t>AMPERAGE:</t>
  </si>
  <si>
    <t>FED FROM:</t>
  </si>
  <si>
    <t>PHASE:</t>
  </si>
  <si>
    <t>CKT No.</t>
  </si>
  <si>
    <t>PHASE</t>
  </si>
  <si>
    <t>TRIP</t>
  </si>
  <si>
    <t>DESCRIPTION OF LOAD</t>
  </si>
  <si>
    <t>20A</t>
  </si>
  <si>
    <t>BK</t>
  </si>
  <si>
    <t xml:space="preserve">3Ø - 4 WIRE </t>
  </si>
  <si>
    <t>LV</t>
  </si>
  <si>
    <t>HV</t>
  </si>
  <si>
    <t>R</t>
  </si>
  <si>
    <t xml:space="preserve">1Ø - 3 WIRE </t>
  </si>
  <si>
    <t xml:space="preserve">3Ø - 3 WIRE </t>
  </si>
  <si>
    <t>U</t>
  </si>
  <si>
    <t>Professional Electrical Contractors</t>
  </si>
  <si>
    <t>980 TURNPIKE ST</t>
  </si>
  <si>
    <t>CANTON, MA 02021</t>
  </si>
  <si>
    <t>781-769-7767</t>
  </si>
  <si>
    <t>BR</t>
  </si>
  <si>
    <t>O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</si>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</sst>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k\A\ \I\C"/>
    <numFmt numFmtId="165" formatCode="0\A"/>
    <numFmt numFmtId="166" formatCode="[$-F800]dddd\,\ mmmm\ dd\,\ yyyy"/>
  </numFmts>
  <fonts count="8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6" xfId="0" applyBorder="1" applyAlignment="1">
      <alignment vertical="center"/>
    </xf>
    <xf numFmtId="49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left" vertical="top" indent="1"/>
    </xf>
    <xf numFmtId="0" fontId="1" fillId="0" borderId="9" xfId="0" applyFont="1" applyBorder="1" applyAlignment="1">
      <alignment horizontal="right" vertical="center" indent="1"/>
    </xf>
    <xf numFmtId="0" fontId="4" fillId="0" borderId="8" xfId="0" applyFont="1" applyBorder="1" applyAlignment="1">
      <alignment horizontal="left" vertical="top" indent="1"/>
    </xf>
    <xf numFmtId="0" fontId="4" fillId="0" borderId="10" xfId="0" applyFont="1" applyBorder="1" applyAlignment="1">
      <alignment horizontal="left" vertical="top" indent="1"/>
    </xf>
    <xf numFmtId="0" fontId="1" fillId="0" borderId="11" xfId="0" applyFont="1" applyBorder="1" applyAlignment="1">
      <alignment horizontal="right" vertical="center" inden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7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5" fillId="0" borderId="14" xfId="0" applyFont="1" applyBorder="1" applyAlignment="1" applyProtection="1">
      <alignment horizontal="center" vertical="center" wrapText="1"/>
      <protection locked="0"/>
    </xf>
    <xf numFmtId="166" fontId="0" fillId="2" borderId="2" xfId="0" applyNumberFormat="1" applyFill="1" applyBorder="1" applyAlignment="1">
      <alignment horizontal="center"/>
    </xf>
    <xf numFmtId="0" fontId="1" fillId="0" borderId="4" xfId="0" applyFont="1" applyBorder="1" applyAlignment="1">
      <alignment horizontal="right" indent="1"/>
    </xf>
    <xf numFmtId="0" fontId="1" fillId="0" borderId="5" xfId="0" applyFont="1" applyBorder="1" applyAlignment="1">
      <alignment horizontal="right" indent="1"/>
    </xf>
    <xf numFmtId="0" fontId="1" fillId="0" borderId="6" xfId="0" applyFont="1" applyBorder="1" applyAlignment="1">
      <alignment horizontal="right" indent="1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left" vertical="top"/>
    </xf>
    <xf numFmtId="165" fontId="4" fillId="0" borderId="5" xfId="0" applyNumberFormat="1" applyFont="1" applyBorder="1" applyAlignment="1">
      <alignment horizontal="left" vertical="top"/>
    </xf>
    <xf numFmtId="165" fontId="4" fillId="0" borderId="6" xfId="0" applyNumberFormat="1" applyFont="1" applyBorder="1" applyAlignment="1">
      <alignment horizontal="left" vertical="top"/>
    </xf>
    <xf numFmtId="164" fontId="0" fillId="0" borderId="4" xfId="0" applyNumberFormat="1" applyBorder="1" applyAlignment="1">
      <alignment horizontal="right" indent="1"/>
    </xf>
    <xf numFmtId="164" fontId="0" fillId="0" borderId="5" xfId="0" applyNumberFormat="1" applyBorder="1" applyAlignment="1">
      <alignment horizontal="right" indent="1"/>
    </xf>
    <xf numFmtId="164" fontId="0" fillId="0" borderId="6" xfId="0" applyNumberFormat="1" applyBorder="1" applyAlignment="1">
      <alignment horizontal="right" inden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</cellXfs>
  <cellStyles count="1">
    <cellStyle name="Normal" xfId="0" builtinId="0"/>
  </cellStyles>
  <dxfs count="160"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  <border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4"/>
      </font>
      <fill>
        <patternFill>
          <bgColor rgb="FF0070C0"/>
        </patternFill>
      </fill>
    </dxf>
    <dxf>
      <font>
        <color theme="5" tint="-0.499984740745262"/>
      </font>
      <fill>
        <patternFill>
          <bgColor theme="5" tint="-0.499984740745262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nnethriendeau/Library/Mobile%20Documents/com~apple~CloudDocs/Coding/AutoPanelSched/Panel%20Schedule%20Template%20_03-26-24.xlsm" TargetMode="External"/><Relationship Id="rId1" Type="http://schemas.openxmlformats.org/officeDocument/2006/relationships/externalLinkPath" Target="/Users/kennethriendeau/Library/Mobile%20Documents/com~apple~CloudDocs/Coding/AutoPanelSched/Panel%20Schedule%20Template%20_03-26-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Template"/>
    </sheetNames>
    <sheetDataSet>
      <sheetData sheetId="0">
        <row r="5">
          <cell r="C5">
            <v>45376</v>
          </cell>
        </row>
        <row r="8">
          <cell r="B8" t="str">
            <v>LPH1</v>
          </cell>
          <cell r="C8" t="str">
            <v>mDP1</v>
          </cell>
          <cell r="D8" t="str">
            <v>277V 480V</v>
          </cell>
          <cell r="E8">
            <v>400</v>
          </cell>
          <cell r="F8">
            <v>1</v>
          </cell>
          <cell r="G8"/>
          <cell r="H8"/>
          <cell r="I8" t="str">
            <v>MCB</v>
          </cell>
          <cell r="J8" t="str">
            <v xml:space="preserve">3Ø - 4 WIRE </v>
          </cell>
        </row>
        <row r="9">
          <cell r="B9"/>
          <cell r="C9"/>
          <cell r="D9"/>
          <cell r="E9"/>
          <cell r="F9"/>
          <cell r="G9"/>
          <cell r="H9"/>
          <cell r="I9"/>
          <cell r="J9" t="str">
            <v/>
          </cell>
        </row>
        <row r="10">
          <cell r="B10"/>
          <cell r="C10"/>
          <cell r="D10"/>
          <cell r="E10"/>
          <cell r="F10"/>
          <cell r="G10"/>
          <cell r="H10"/>
          <cell r="I10"/>
          <cell r="J10" t="str">
            <v/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 t="str">
            <v/>
          </cell>
        </row>
        <row r="12">
          <cell r="B12"/>
          <cell r="C12"/>
          <cell r="D12"/>
          <cell r="E12"/>
          <cell r="F12"/>
          <cell r="G12"/>
          <cell r="H12"/>
          <cell r="I12"/>
          <cell r="J12" t="str">
            <v/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 t="str">
            <v/>
          </cell>
        </row>
        <row r="14">
          <cell r="B14"/>
          <cell r="C14"/>
          <cell r="D14"/>
          <cell r="E14"/>
          <cell r="F14"/>
          <cell r="G14"/>
          <cell r="H14"/>
          <cell r="I14"/>
          <cell r="J14" t="str">
            <v/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 t="str">
            <v/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 t="str">
            <v/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J17" t="str">
            <v/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J18" t="str">
            <v/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J19" t="str">
            <v/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J20" t="str">
            <v/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 t="str">
            <v/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J22" t="str">
            <v/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J23" t="str">
            <v/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J24" t="str">
            <v/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J25" t="str">
            <v/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 t="str">
            <v/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J27" t="str">
            <v/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 t="str">
            <v/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 t="str">
            <v/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J30" t="str">
            <v/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J31" t="str">
            <v/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J32" t="str">
            <v/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J33" t="str">
            <v/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J34" t="str">
            <v/>
          </cell>
        </row>
        <row r="35">
          <cell r="B35"/>
          <cell r="C35"/>
          <cell r="D35"/>
          <cell r="E35"/>
          <cell r="F35"/>
          <cell r="G35"/>
          <cell r="H35"/>
          <cell r="I35"/>
          <cell r="J35" t="str">
            <v/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J36" t="str">
            <v/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 t="str">
            <v/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J38" t="str">
            <v/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 t="str">
            <v/>
          </cell>
        </row>
        <row r="40">
          <cell r="B40"/>
          <cell r="C40"/>
          <cell r="D40"/>
          <cell r="E40"/>
          <cell r="F40"/>
          <cell r="G40"/>
          <cell r="H40"/>
          <cell r="I40"/>
          <cell r="J40" t="str">
            <v/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J41" t="str">
            <v/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J42" t="str">
            <v/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J43" t="str">
            <v/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 t="str">
            <v/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J45" t="str">
            <v/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J46" t="str">
            <v/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J47" t="str">
            <v/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J48" t="str">
            <v/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J49" t="str">
            <v/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J50" t="str">
            <v/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J51" t="str">
            <v/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J52" t="str">
            <v/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 t="str">
            <v/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 t="str">
            <v/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 t="str">
            <v/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J56" t="str">
            <v/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J57" t="str">
            <v/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J58" t="str">
            <v/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J59" t="str">
            <v/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J60" t="str">
            <v/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J61" t="str">
            <v/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 t="str">
            <v/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J63" t="str">
            <v/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J64" t="str">
            <v/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J65" t="str">
            <v/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J66" t="str">
            <v/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J67" t="str">
            <v/>
          </cell>
        </row>
        <row r="68">
          <cell r="B68"/>
          <cell r="C68"/>
          <cell r="D68"/>
          <cell r="E68"/>
          <cell r="F68"/>
          <cell r="G68"/>
          <cell r="H68"/>
          <cell r="I68"/>
          <cell r="J68" t="str">
            <v/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 t="str">
            <v/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 t="str">
            <v/>
          </cell>
        </row>
        <row r="71">
          <cell r="B71"/>
          <cell r="C71"/>
          <cell r="D71"/>
          <cell r="E71"/>
          <cell r="F71"/>
          <cell r="G71"/>
          <cell r="H71"/>
          <cell r="I71"/>
          <cell r="J71" t="str">
            <v/>
          </cell>
        </row>
        <row r="72">
          <cell r="B72"/>
          <cell r="C72"/>
          <cell r="D72"/>
          <cell r="E72"/>
          <cell r="F72"/>
          <cell r="G72"/>
          <cell r="H72"/>
          <cell r="I72"/>
          <cell r="J72" t="str">
            <v/>
          </cell>
        </row>
        <row r="73">
          <cell r="B73"/>
          <cell r="C73"/>
          <cell r="D73"/>
          <cell r="E73"/>
          <cell r="F73"/>
          <cell r="G73"/>
          <cell r="H73"/>
          <cell r="I73"/>
          <cell r="J73" t="str">
            <v/>
          </cell>
        </row>
        <row r="74">
          <cell r="B74"/>
          <cell r="C74"/>
          <cell r="D74"/>
          <cell r="E74"/>
          <cell r="F74"/>
          <cell r="G74"/>
          <cell r="H74"/>
          <cell r="I74"/>
          <cell r="J74" t="str">
            <v/>
          </cell>
        </row>
        <row r="75">
          <cell r="B75"/>
          <cell r="C75"/>
          <cell r="D75"/>
          <cell r="E75"/>
          <cell r="F75"/>
          <cell r="G75"/>
          <cell r="H75"/>
          <cell r="I75"/>
          <cell r="J75" t="str">
            <v/>
          </cell>
        </row>
        <row r="76">
          <cell r="B76"/>
          <cell r="C76"/>
          <cell r="D76"/>
          <cell r="E76"/>
          <cell r="F76"/>
          <cell r="G76"/>
          <cell r="H76"/>
          <cell r="I76"/>
          <cell r="J76" t="str">
            <v/>
          </cell>
        </row>
        <row r="77">
          <cell r="B77"/>
          <cell r="C77"/>
          <cell r="D77"/>
          <cell r="E77"/>
          <cell r="F77"/>
          <cell r="G77"/>
          <cell r="H77"/>
          <cell r="I77"/>
          <cell r="J77" t="str">
            <v/>
          </cell>
        </row>
        <row r="78">
          <cell r="B78"/>
          <cell r="C78"/>
          <cell r="D78"/>
          <cell r="E78"/>
          <cell r="F78"/>
          <cell r="G78"/>
          <cell r="H78"/>
          <cell r="I78"/>
          <cell r="J78" t="str">
            <v/>
          </cell>
        </row>
        <row r="79">
          <cell r="B79"/>
          <cell r="C79"/>
          <cell r="D79"/>
          <cell r="E79"/>
          <cell r="F79"/>
          <cell r="G79"/>
          <cell r="H79"/>
          <cell r="I79"/>
          <cell r="J79" t="str">
            <v/>
          </cell>
        </row>
        <row r="80">
          <cell r="B80"/>
          <cell r="C80"/>
          <cell r="D80"/>
          <cell r="E80"/>
          <cell r="F80"/>
          <cell r="G80"/>
          <cell r="H80"/>
          <cell r="I80"/>
          <cell r="J80" t="str">
            <v/>
          </cell>
        </row>
        <row r="81">
          <cell r="B81"/>
          <cell r="C81"/>
          <cell r="D81"/>
          <cell r="E81"/>
          <cell r="F81"/>
          <cell r="G81"/>
          <cell r="H81"/>
          <cell r="I81"/>
          <cell r="J81" t="str">
            <v/>
          </cell>
        </row>
        <row r="82">
          <cell r="B82"/>
          <cell r="C82"/>
          <cell r="D82"/>
          <cell r="E82"/>
          <cell r="F82"/>
          <cell r="G82"/>
          <cell r="H82"/>
          <cell r="I82"/>
          <cell r="J82" t="str">
            <v/>
          </cell>
        </row>
        <row r="83">
          <cell r="B83"/>
          <cell r="C83"/>
          <cell r="D83"/>
          <cell r="E83"/>
          <cell r="F83"/>
          <cell r="G83"/>
          <cell r="H83"/>
          <cell r="I83"/>
          <cell r="J83" t="str">
            <v/>
          </cell>
        </row>
        <row r="84">
          <cell r="B84"/>
          <cell r="C84"/>
          <cell r="D84"/>
          <cell r="E84"/>
          <cell r="F84"/>
          <cell r="G84"/>
          <cell r="H84"/>
          <cell r="I84"/>
          <cell r="J84" t="str">
            <v/>
          </cell>
        </row>
        <row r="85">
          <cell r="B85"/>
          <cell r="C85"/>
          <cell r="D85"/>
          <cell r="E85"/>
          <cell r="F85"/>
          <cell r="G85"/>
          <cell r="H85"/>
          <cell r="I85"/>
          <cell r="J85" t="str">
            <v/>
          </cell>
        </row>
        <row r="86">
          <cell r="B86"/>
          <cell r="C86"/>
          <cell r="D86"/>
          <cell r="E86"/>
          <cell r="F86"/>
          <cell r="G86"/>
          <cell r="H86"/>
          <cell r="I86"/>
          <cell r="J86" t="str">
            <v/>
          </cell>
        </row>
        <row r="87">
          <cell r="B87"/>
          <cell r="C87"/>
          <cell r="D87"/>
          <cell r="E87"/>
          <cell r="F87"/>
          <cell r="G87"/>
          <cell r="H87"/>
          <cell r="I87"/>
          <cell r="J87" t="str">
            <v/>
          </cell>
        </row>
        <row r="88">
          <cell r="B88"/>
          <cell r="C88"/>
          <cell r="D88"/>
          <cell r="E88"/>
          <cell r="F88"/>
          <cell r="G88"/>
          <cell r="H88"/>
          <cell r="I88"/>
          <cell r="J88" t="str">
            <v/>
          </cell>
        </row>
        <row r="89">
          <cell r="B89"/>
          <cell r="C89"/>
          <cell r="D89"/>
          <cell r="E89"/>
          <cell r="F89"/>
          <cell r="G89"/>
          <cell r="H89"/>
          <cell r="I89"/>
          <cell r="J89" t="str">
            <v/>
          </cell>
        </row>
        <row r="90">
          <cell r="B90"/>
          <cell r="C90"/>
          <cell r="D90"/>
          <cell r="E90"/>
          <cell r="F90"/>
          <cell r="G90"/>
          <cell r="H90"/>
          <cell r="I90"/>
          <cell r="J90" t="str">
            <v/>
          </cell>
        </row>
        <row r="91">
          <cell r="B91"/>
          <cell r="C91"/>
          <cell r="D91"/>
          <cell r="E91"/>
          <cell r="F91"/>
          <cell r="G91"/>
          <cell r="H91"/>
          <cell r="I91"/>
          <cell r="J91" t="str">
            <v/>
          </cell>
        </row>
        <row r="92">
          <cell r="B92"/>
          <cell r="C92"/>
          <cell r="D92"/>
          <cell r="E92"/>
          <cell r="F92"/>
          <cell r="G92"/>
          <cell r="H92"/>
          <cell r="I92"/>
          <cell r="J92" t="str">
            <v/>
          </cell>
        </row>
        <row r="93">
          <cell r="B93"/>
          <cell r="C93"/>
          <cell r="D93"/>
          <cell r="E93"/>
          <cell r="F93"/>
          <cell r="G93"/>
          <cell r="H93"/>
          <cell r="I93"/>
          <cell r="J93" t="str">
            <v/>
          </cell>
        </row>
        <row r="94">
          <cell r="B94"/>
          <cell r="C94"/>
          <cell r="D94"/>
          <cell r="E94"/>
          <cell r="F94"/>
          <cell r="G94"/>
          <cell r="H94"/>
          <cell r="I94"/>
          <cell r="J94" t="str">
            <v/>
          </cell>
        </row>
        <row r="95">
          <cell r="B95"/>
          <cell r="C95"/>
          <cell r="D95"/>
          <cell r="E95"/>
          <cell r="F95"/>
          <cell r="G95"/>
          <cell r="H95"/>
          <cell r="I95"/>
          <cell r="J95" t="str">
            <v/>
          </cell>
        </row>
        <row r="96">
          <cell r="B96"/>
          <cell r="C96"/>
          <cell r="D96"/>
          <cell r="E96"/>
          <cell r="F96"/>
          <cell r="G96"/>
          <cell r="H96"/>
          <cell r="I96"/>
          <cell r="J96" t="str">
            <v/>
          </cell>
        </row>
        <row r="97">
          <cell r="B97"/>
          <cell r="C97"/>
          <cell r="D97"/>
          <cell r="E97"/>
          <cell r="F97"/>
          <cell r="G97"/>
          <cell r="H97"/>
          <cell r="I97"/>
          <cell r="J97" t="str">
            <v/>
          </cell>
        </row>
        <row r="98">
          <cell r="B98"/>
          <cell r="C98"/>
          <cell r="D98"/>
          <cell r="E98"/>
          <cell r="F98"/>
          <cell r="G98"/>
          <cell r="H98"/>
          <cell r="I98"/>
          <cell r="J98" t="str">
            <v/>
          </cell>
        </row>
        <row r="99">
          <cell r="B99"/>
          <cell r="C99"/>
          <cell r="D99"/>
          <cell r="E99"/>
          <cell r="F99"/>
          <cell r="G99"/>
          <cell r="H99"/>
          <cell r="I99"/>
          <cell r="J99" t="str">
            <v/>
          </cell>
        </row>
        <row r="100">
          <cell r="B100"/>
          <cell r="C100"/>
          <cell r="D100"/>
          <cell r="E100"/>
          <cell r="F100"/>
          <cell r="G100"/>
          <cell r="H100"/>
          <cell r="I100"/>
          <cell r="J100" t="str">
            <v/>
          </cell>
        </row>
        <row r="101">
          <cell r="B101"/>
          <cell r="C101"/>
          <cell r="D101"/>
          <cell r="E101"/>
          <cell r="F101"/>
          <cell r="G101"/>
          <cell r="H101"/>
          <cell r="I101"/>
          <cell r="J101" t="str">
            <v/>
          </cell>
        </row>
        <row r="102">
          <cell r="B102"/>
          <cell r="C102"/>
          <cell r="D102"/>
          <cell r="E102"/>
          <cell r="F102"/>
          <cell r="G102"/>
          <cell r="H102"/>
          <cell r="I102"/>
          <cell r="J102" t="str">
            <v/>
          </cell>
        </row>
        <row r="103">
          <cell r="B103"/>
          <cell r="C103"/>
          <cell r="D103"/>
          <cell r="E103"/>
          <cell r="F103"/>
          <cell r="G103"/>
          <cell r="H103"/>
          <cell r="I103"/>
          <cell r="J103" t="str">
            <v/>
          </cell>
        </row>
        <row r="104">
          <cell r="B104"/>
          <cell r="C104"/>
          <cell r="D104"/>
          <cell r="E104"/>
          <cell r="F104"/>
          <cell r="G104"/>
          <cell r="H104"/>
          <cell r="I104"/>
          <cell r="J104" t="str">
            <v/>
          </cell>
        </row>
        <row r="105">
          <cell r="B105"/>
          <cell r="C105"/>
          <cell r="D105"/>
          <cell r="E105"/>
          <cell r="F105"/>
          <cell r="G105"/>
          <cell r="H105"/>
          <cell r="I105"/>
          <cell r="J105" t="str">
            <v/>
          </cell>
        </row>
        <row r="106">
          <cell r="B106"/>
          <cell r="C106"/>
          <cell r="D106"/>
          <cell r="E106"/>
          <cell r="F106"/>
          <cell r="G106"/>
          <cell r="H106"/>
          <cell r="I106"/>
          <cell r="J106" t="str">
            <v/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 t="str">
            <v/>
          </cell>
        </row>
        <row r="108">
          <cell r="B108"/>
          <cell r="C108"/>
          <cell r="D108"/>
          <cell r="E108"/>
          <cell r="F108"/>
          <cell r="G108"/>
          <cell r="H108"/>
          <cell r="I108"/>
          <cell r="J108" t="str">
            <v/>
          </cell>
        </row>
        <row r="109">
          <cell r="B109"/>
          <cell r="C109"/>
          <cell r="D109"/>
          <cell r="E109"/>
          <cell r="F109"/>
          <cell r="G109"/>
          <cell r="H109"/>
          <cell r="I109"/>
          <cell r="J109" t="str">
            <v/>
          </cell>
        </row>
        <row r="110">
          <cell r="B110"/>
          <cell r="C110"/>
          <cell r="D110"/>
          <cell r="E110"/>
          <cell r="F110"/>
          <cell r="G110"/>
          <cell r="H110"/>
          <cell r="I110"/>
          <cell r="J110" t="str">
            <v/>
          </cell>
        </row>
        <row r="111">
          <cell r="B111"/>
          <cell r="C111"/>
          <cell r="D111"/>
          <cell r="E111"/>
          <cell r="F111"/>
          <cell r="G111"/>
          <cell r="H111"/>
          <cell r="I111"/>
          <cell r="J111" t="str">
            <v/>
          </cell>
        </row>
        <row r="112">
          <cell r="B112"/>
          <cell r="C112"/>
          <cell r="D112"/>
          <cell r="E112"/>
          <cell r="F112"/>
          <cell r="G112"/>
          <cell r="H112"/>
          <cell r="I112"/>
          <cell r="J112" t="str">
            <v/>
          </cell>
        </row>
        <row r="113">
          <cell r="B113"/>
          <cell r="C113"/>
          <cell r="D113"/>
          <cell r="E113"/>
          <cell r="F113"/>
          <cell r="G113"/>
          <cell r="H113"/>
          <cell r="I113"/>
          <cell r="J113" t="str">
            <v/>
          </cell>
        </row>
        <row r="114">
          <cell r="B114"/>
          <cell r="C114"/>
          <cell r="D114"/>
          <cell r="E114"/>
          <cell r="F114"/>
          <cell r="G114"/>
          <cell r="H114"/>
          <cell r="I114"/>
          <cell r="J114" t="str">
            <v/>
          </cell>
        </row>
        <row r="115">
          <cell r="B115"/>
          <cell r="C115"/>
          <cell r="D115"/>
          <cell r="E115"/>
          <cell r="F115"/>
          <cell r="G115"/>
          <cell r="H115"/>
          <cell r="I115"/>
          <cell r="J115" t="str">
            <v/>
          </cell>
        </row>
        <row r="116">
          <cell r="B116"/>
          <cell r="C116"/>
          <cell r="D116"/>
          <cell r="E116"/>
          <cell r="F116"/>
          <cell r="G116"/>
          <cell r="H116"/>
          <cell r="I116"/>
          <cell r="J116" t="str">
            <v/>
          </cell>
        </row>
        <row r="117">
          <cell r="B117"/>
          <cell r="C117"/>
          <cell r="D117"/>
          <cell r="E117"/>
          <cell r="F117"/>
          <cell r="G117"/>
          <cell r="H117"/>
          <cell r="I117"/>
          <cell r="J117" t="str">
            <v/>
          </cell>
        </row>
        <row r="118">
          <cell r="B118"/>
          <cell r="C118"/>
          <cell r="D118"/>
          <cell r="E118"/>
          <cell r="F118"/>
          <cell r="G118"/>
          <cell r="H118"/>
          <cell r="I118"/>
          <cell r="J118" t="str">
            <v/>
          </cell>
        </row>
        <row r="119">
          <cell r="B119"/>
          <cell r="C119"/>
          <cell r="D119"/>
          <cell r="E119"/>
          <cell r="F119"/>
          <cell r="G119"/>
          <cell r="H119"/>
          <cell r="I119"/>
          <cell r="J119" t="str">
            <v/>
          </cell>
        </row>
        <row r="120">
          <cell r="B120"/>
          <cell r="C120"/>
          <cell r="D120"/>
          <cell r="E120"/>
          <cell r="F120"/>
          <cell r="G120"/>
          <cell r="H120"/>
          <cell r="I120"/>
          <cell r="J120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DA77-B051-8F41-AAB2-090B69B06ACC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C4:E4"/>
    <mergeCell ref="H4:J4"/>
    <mergeCell ref="C2:E2"/>
    <mergeCell ref="F2:G2"/>
    <mergeCell ref="H2:I2"/>
    <mergeCell ref="C3:E3"/>
    <mergeCell ref="H3:J3"/>
    <mergeCell ref="F53:G53"/>
    <mergeCell ref="C5:E5"/>
    <mergeCell ref="H5:J5"/>
    <mergeCell ref="C49:J49"/>
    <mergeCell ref="C50:J50"/>
    <mergeCell ref="C51:J51"/>
    <mergeCell ref="C52:J52"/>
  </mergeCells>
  <conditionalFormatting sqref="C2:E2">
    <cfRule type="cellIs" dxfId="159" priority="2" operator="equal">
      <formula>0</formula>
    </cfRule>
  </conditionalFormatting>
  <conditionalFormatting sqref="C2:J5">
    <cfRule type="cellIs" dxfId="158" priority="1" operator="equal">
      <formula>0</formula>
    </cfRule>
  </conditionalFormatting>
  <conditionalFormatting sqref="D7:D48 I7:I48">
    <cfRule type="containsText" dxfId="157" priority="5" operator="containsText" text="Y">
      <formula>NOT(ISERROR(SEARCH("Y",D7)))</formula>
    </cfRule>
    <cfRule type="containsText" dxfId="156" priority="6" operator="containsText" text="O">
      <formula>NOT(ISERROR(SEARCH("O",D7)))</formula>
    </cfRule>
    <cfRule type="containsText" dxfId="155" priority="7" operator="containsText" text="BR">
      <formula>NOT(ISERROR(SEARCH("BR",D7)))</formula>
    </cfRule>
    <cfRule type="containsText" dxfId="154" priority="8" operator="containsText" text="U">
      <formula>NOT(ISERROR(SEARCH("U",D7)))</formula>
    </cfRule>
    <cfRule type="containsText" dxfId="153" priority="9" operator="containsText" text="R">
      <formula>NOT(ISERROR(SEARCH("R",D7)))</formula>
    </cfRule>
    <cfRule type="containsText" dxfId="152" priority="10" operator="containsText" text="BK">
      <formula>NOT(ISERROR(SEARCH("BK",D7)))</formula>
    </cfRule>
  </conditionalFormatting>
  <conditionalFormatting sqref="F7:G48">
    <cfRule type="containsBlanks" dxfId="151" priority="4">
      <formula>LEN(TRIM(F7))=0</formula>
    </cfRule>
  </conditionalFormatting>
  <conditionalFormatting sqref="F53:G53">
    <cfRule type="cellIs" dxfId="15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73D5AE2C-615E-F14E-8A48-616E06E75424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F24E-EB69-3F42-A47B-D1C7FE372B25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49" priority="2" operator="equal">
      <formula>0</formula>
    </cfRule>
  </conditionalFormatting>
  <conditionalFormatting sqref="C2:J5">
    <cfRule type="cellIs" dxfId="148" priority="1" operator="equal">
      <formula>0</formula>
    </cfRule>
  </conditionalFormatting>
  <conditionalFormatting sqref="D7:D48 I7:I48">
    <cfRule type="containsText" dxfId="147" priority="5" operator="containsText" text="Y">
      <formula>NOT(ISERROR(SEARCH("Y",D7)))</formula>
    </cfRule>
    <cfRule type="containsText" dxfId="146" priority="6" operator="containsText" text="O">
      <formula>NOT(ISERROR(SEARCH("O",D7)))</formula>
    </cfRule>
    <cfRule type="containsText" dxfId="145" priority="7" operator="containsText" text="BR">
      <formula>NOT(ISERROR(SEARCH("BR",D7)))</formula>
    </cfRule>
    <cfRule type="containsText" dxfId="144" priority="8" operator="containsText" text="U">
      <formula>NOT(ISERROR(SEARCH("U",D7)))</formula>
    </cfRule>
    <cfRule type="containsText" dxfId="143" priority="9" operator="containsText" text="R">
      <formula>NOT(ISERROR(SEARCH("R",D7)))</formula>
    </cfRule>
    <cfRule type="containsText" dxfId="142" priority="10" operator="containsText" text="BK">
      <formula>NOT(ISERROR(SEARCH("BK",D7)))</formula>
    </cfRule>
  </conditionalFormatting>
  <conditionalFormatting sqref="F7:G48">
    <cfRule type="containsBlanks" dxfId="141" priority="4">
      <formula>LEN(TRIM(F7))=0</formula>
    </cfRule>
  </conditionalFormatting>
  <conditionalFormatting sqref="F53:G53">
    <cfRule type="cellIs" dxfId="14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BEE27F7B-77EF-A841-A129-1C06FB3855A4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B08F-4B5A-7A47-9A7E-4706AF481CD4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39" priority="2" operator="equal">
      <formula>0</formula>
    </cfRule>
  </conditionalFormatting>
  <conditionalFormatting sqref="C2:J5">
    <cfRule type="cellIs" dxfId="138" priority="1" operator="equal">
      <formula>0</formula>
    </cfRule>
  </conditionalFormatting>
  <conditionalFormatting sqref="D7:D48 I7:I48">
    <cfRule type="containsText" dxfId="137" priority="5" operator="containsText" text="Y">
      <formula>NOT(ISERROR(SEARCH("Y",D7)))</formula>
    </cfRule>
    <cfRule type="containsText" dxfId="136" priority="6" operator="containsText" text="O">
      <formula>NOT(ISERROR(SEARCH("O",D7)))</formula>
    </cfRule>
    <cfRule type="containsText" dxfId="135" priority="7" operator="containsText" text="BR">
      <formula>NOT(ISERROR(SEARCH("BR",D7)))</formula>
    </cfRule>
    <cfRule type="containsText" dxfId="134" priority="8" operator="containsText" text="U">
      <formula>NOT(ISERROR(SEARCH("U",D7)))</formula>
    </cfRule>
    <cfRule type="containsText" dxfId="133" priority="9" operator="containsText" text="R">
      <formula>NOT(ISERROR(SEARCH("R",D7)))</formula>
    </cfRule>
    <cfRule type="containsText" dxfId="132" priority="10" operator="containsText" text="BK">
      <formula>NOT(ISERROR(SEARCH("BK",D7)))</formula>
    </cfRule>
  </conditionalFormatting>
  <conditionalFormatting sqref="F7:G48">
    <cfRule type="containsBlanks" dxfId="131" priority="4">
      <formula>LEN(TRIM(F7))=0</formula>
    </cfRule>
  </conditionalFormatting>
  <conditionalFormatting sqref="F53:G53">
    <cfRule type="cellIs" dxfId="13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1D480E85-9270-9A45-AFE1-C55AF3CC3D7C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B142-CA9F-7249-9E80-9798A8854261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29" priority="2" operator="equal">
      <formula>0</formula>
    </cfRule>
  </conditionalFormatting>
  <conditionalFormatting sqref="C2:J5">
    <cfRule type="cellIs" dxfId="128" priority="1" operator="equal">
      <formula>0</formula>
    </cfRule>
  </conditionalFormatting>
  <conditionalFormatting sqref="D7:D48 I7:I48">
    <cfRule type="containsText" dxfId="127" priority="5" operator="containsText" text="Y">
      <formula>NOT(ISERROR(SEARCH("Y",D7)))</formula>
    </cfRule>
    <cfRule type="containsText" dxfId="126" priority="6" operator="containsText" text="O">
      <formula>NOT(ISERROR(SEARCH("O",D7)))</formula>
    </cfRule>
    <cfRule type="containsText" dxfId="125" priority="7" operator="containsText" text="BR">
      <formula>NOT(ISERROR(SEARCH("BR",D7)))</formula>
    </cfRule>
    <cfRule type="containsText" dxfId="124" priority="8" operator="containsText" text="U">
      <formula>NOT(ISERROR(SEARCH("U",D7)))</formula>
    </cfRule>
    <cfRule type="containsText" dxfId="123" priority="9" operator="containsText" text="R">
      <formula>NOT(ISERROR(SEARCH("R",D7)))</formula>
    </cfRule>
    <cfRule type="containsText" dxfId="122" priority="10" operator="containsText" text="BK">
      <formula>NOT(ISERROR(SEARCH("BK",D7)))</formula>
    </cfRule>
  </conditionalFormatting>
  <conditionalFormatting sqref="F7:G48">
    <cfRule type="containsBlanks" dxfId="121" priority="4">
      <formula>LEN(TRIM(F7))=0</formula>
    </cfRule>
  </conditionalFormatting>
  <conditionalFormatting sqref="F53:G53">
    <cfRule type="cellIs" dxfId="12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4B724427-6D77-444B-983E-80182C28EB71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0A84-71CE-0849-8837-AB93CF990E24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19" priority="2" operator="equal">
      <formula>0</formula>
    </cfRule>
  </conditionalFormatting>
  <conditionalFormatting sqref="C2:J5">
    <cfRule type="cellIs" dxfId="118" priority="1" operator="equal">
      <formula>0</formula>
    </cfRule>
  </conditionalFormatting>
  <conditionalFormatting sqref="D7:D48 I7:I48">
    <cfRule type="containsText" dxfId="117" priority="5" operator="containsText" text="Y">
      <formula>NOT(ISERROR(SEARCH("Y",D7)))</formula>
    </cfRule>
    <cfRule type="containsText" dxfId="116" priority="6" operator="containsText" text="O">
      <formula>NOT(ISERROR(SEARCH("O",D7)))</formula>
    </cfRule>
    <cfRule type="containsText" dxfId="115" priority="7" operator="containsText" text="BR">
      <formula>NOT(ISERROR(SEARCH("BR",D7)))</formula>
    </cfRule>
    <cfRule type="containsText" dxfId="114" priority="8" operator="containsText" text="U">
      <formula>NOT(ISERROR(SEARCH("U",D7)))</formula>
    </cfRule>
    <cfRule type="containsText" dxfId="113" priority="9" operator="containsText" text="R">
      <formula>NOT(ISERROR(SEARCH("R",D7)))</formula>
    </cfRule>
    <cfRule type="containsText" dxfId="112" priority="10" operator="containsText" text="BK">
      <formula>NOT(ISERROR(SEARCH("BK",D7)))</formula>
    </cfRule>
  </conditionalFormatting>
  <conditionalFormatting sqref="F7:G48">
    <cfRule type="containsBlanks" dxfId="111" priority="4">
      <formula>LEN(TRIM(F7))=0</formula>
    </cfRule>
  </conditionalFormatting>
  <conditionalFormatting sqref="F53:G53">
    <cfRule type="cellIs" dxfId="11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6BC959F0-0BD0-DC46-B3EC-8A6C4E244241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C5CF-B9EA-8044-ACFA-976887F26B43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09" priority="2" operator="equal">
      <formula>0</formula>
    </cfRule>
  </conditionalFormatting>
  <conditionalFormatting sqref="C2:J5">
    <cfRule type="cellIs" dxfId="108" priority="1" operator="equal">
      <formula>0</formula>
    </cfRule>
  </conditionalFormatting>
  <conditionalFormatting sqref="D7:D48 I7:I48">
    <cfRule type="containsText" dxfId="107" priority="5" operator="containsText" text="Y">
      <formula>NOT(ISERROR(SEARCH("Y",D7)))</formula>
    </cfRule>
    <cfRule type="containsText" dxfId="106" priority="6" operator="containsText" text="O">
      <formula>NOT(ISERROR(SEARCH("O",D7)))</formula>
    </cfRule>
    <cfRule type="containsText" dxfId="105" priority="7" operator="containsText" text="BR">
      <formula>NOT(ISERROR(SEARCH("BR",D7)))</formula>
    </cfRule>
    <cfRule type="containsText" dxfId="104" priority="8" operator="containsText" text="U">
      <formula>NOT(ISERROR(SEARCH("U",D7)))</formula>
    </cfRule>
    <cfRule type="containsText" dxfId="103" priority="9" operator="containsText" text="R">
      <formula>NOT(ISERROR(SEARCH("R",D7)))</formula>
    </cfRule>
    <cfRule type="containsText" dxfId="102" priority="10" operator="containsText" text="BK">
      <formula>NOT(ISERROR(SEARCH("BK",D7)))</formula>
    </cfRule>
  </conditionalFormatting>
  <conditionalFormatting sqref="F7:G48">
    <cfRule type="containsBlanks" dxfId="101" priority="4">
      <formula>LEN(TRIM(F7))=0</formula>
    </cfRule>
  </conditionalFormatting>
  <conditionalFormatting sqref="F53:G53">
    <cfRule type="cellIs" dxfId="10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A013B632-94F3-3448-A093-C4480D8B6C19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46F0-362C-7E4B-8981-D166A2117A81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99" priority="2" operator="equal">
      <formula>0</formula>
    </cfRule>
  </conditionalFormatting>
  <conditionalFormatting sqref="C2:J5">
    <cfRule type="cellIs" dxfId="98" priority="1" operator="equal">
      <formula>0</formula>
    </cfRule>
  </conditionalFormatting>
  <conditionalFormatting sqref="D7:D48 I7:I48">
    <cfRule type="containsText" dxfId="97" priority="5" operator="containsText" text="Y">
      <formula>NOT(ISERROR(SEARCH("Y",D7)))</formula>
    </cfRule>
    <cfRule type="containsText" dxfId="96" priority="6" operator="containsText" text="O">
      <formula>NOT(ISERROR(SEARCH("O",D7)))</formula>
    </cfRule>
    <cfRule type="containsText" dxfId="95" priority="7" operator="containsText" text="BR">
      <formula>NOT(ISERROR(SEARCH("BR",D7)))</formula>
    </cfRule>
    <cfRule type="containsText" dxfId="94" priority="8" operator="containsText" text="U">
      <formula>NOT(ISERROR(SEARCH("U",D7)))</formula>
    </cfRule>
    <cfRule type="containsText" dxfId="93" priority="9" operator="containsText" text="R">
      <formula>NOT(ISERROR(SEARCH("R",D7)))</formula>
    </cfRule>
    <cfRule type="containsText" dxfId="92" priority="10" operator="containsText" text="BK">
      <formula>NOT(ISERROR(SEARCH("BK",D7)))</formula>
    </cfRule>
  </conditionalFormatting>
  <conditionalFormatting sqref="F7:G48">
    <cfRule type="containsBlanks" dxfId="91" priority="4">
      <formula>LEN(TRIM(F7))=0</formula>
    </cfRule>
  </conditionalFormatting>
  <conditionalFormatting sqref="F53:G53">
    <cfRule type="cellIs" dxfId="9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965217AF-C5E6-E44B-AD8A-E0FF3C16AA2D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24A9-7B2B-0C4C-AB70-EF1EB3631F99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89" priority="2" operator="equal">
      <formula>0</formula>
    </cfRule>
  </conditionalFormatting>
  <conditionalFormatting sqref="C2:J5">
    <cfRule type="cellIs" dxfId="88" priority="1" operator="equal">
      <formula>0</formula>
    </cfRule>
  </conditionalFormatting>
  <conditionalFormatting sqref="D7:D48 I7:I48">
    <cfRule type="containsText" dxfId="87" priority="5" operator="containsText" text="Y">
      <formula>NOT(ISERROR(SEARCH("Y",D7)))</formula>
    </cfRule>
    <cfRule type="containsText" dxfId="86" priority="6" operator="containsText" text="O">
      <formula>NOT(ISERROR(SEARCH("O",D7)))</formula>
    </cfRule>
    <cfRule type="containsText" dxfId="85" priority="7" operator="containsText" text="BR">
      <formula>NOT(ISERROR(SEARCH("BR",D7)))</formula>
    </cfRule>
    <cfRule type="containsText" dxfId="84" priority="8" operator="containsText" text="U">
      <formula>NOT(ISERROR(SEARCH("U",D7)))</formula>
    </cfRule>
    <cfRule type="containsText" dxfId="83" priority="9" operator="containsText" text="R">
      <formula>NOT(ISERROR(SEARCH("R",D7)))</formula>
    </cfRule>
    <cfRule type="containsText" dxfId="82" priority="10" operator="containsText" text="BK">
      <formula>NOT(ISERROR(SEARCH("BK",D7)))</formula>
    </cfRule>
  </conditionalFormatting>
  <conditionalFormatting sqref="F7:G48">
    <cfRule type="containsBlanks" dxfId="81" priority="4">
      <formula>LEN(TRIM(F7))=0</formula>
    </cfRule>
  </conditionalFormatting>
  <conditionalFormatting sqref="F53:G53">
    <cfRule type="cellIs" dxfId="8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C1DD3B21-5817-CB4D-9DB3-3FFB983915EF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6619-651C-6544-A127-636624DD2985}">
  <dimension ref="A1:AR342"/>
  <sheetViews>
    <sheetView tabSelected="1"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79" priority="2" operator="equal">
      <formula>0</formula>
    </cfRule>
  </conditionalFormatting>
  <conditionalFormatting sqref="C2:J5">
    <cfRule type="cellIs" dxfId="78" priority="1" operator="equal">
      <formula>0</formula>
    </cfRule>
  </conditionalFormatting>
  <conditionalFormatting sqref="D7:D48 I7:I48">
    <cfRule type="containsText" dxfId="77" priority="5" operator="containsText" text="Y">
      <formula>NOT(ISERROR(SEARCH("Y",D7)))</formula>
    </cfRule>
    <cfRule type="containsText" dxfId="76" priority="6" operator="containsText" text="O">
      <formula>NOT(ISERROR(SEARCH("O",D7)))</formula>
    </cfRule>
    <cfRule type="containsText" dxfId="75" priority="7" operator="containsText" text="BR">
      <formula>NOT(ISERROR(SEARCH("BR",D7)))</formula>
    </cfRule>
    <cfRule type="containsText" dxfId="74" priority="8" operator="containsText" text="U">
      <formula>NOT(ISERROR(SEARCH("U",D7)))</formula>
    </cfRule>
    <cfRule type="containsText" dxfId="73" priority="9" operator="containsText" text="R">
      <formula>NOT(ISERROR(SEARCH("R",D7)))</formula>
    </cfRule>
    <cfRule type="containsText" dxfId="72" priority="10" operator="containsText" text="BK">
      <formula>NOT(ISERROR(SEARCH("BK",D7)))</formula>
    </cfRule>
  </conditionalFormatting>
  <conditionalFormatting sqref="F7:G48">
    <cfRule type="containsBlanks" dxfId="71" priority="4">
      <formula>LEN(TRIM(F7))=0</formula>
    </cfRule>
  </conditionalFormatting>
  <conditionalFormatting sqref="F53:G53">
    <cfRule type="cellIs" dxfId="7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743EDCC0-95C9-3341-88E0-EBBECFEDADF7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193F-5F7C-4045-A22A-928403EC4801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69" priority="2" operator="equal">
      <formula>0</formula>
    </cfRule>
  </conditionalFormatting>
  <conditionalFormatting sqref="C2:J5">
    <cfRule type="cellIs" dxfId="68" priority="1" operator="equal">
      <formula>0</formula>
    </cfRule>
  </conditionalFormatting>
  <conditionalFormatting sqref="D7:D48 I7:I48">
    <cfRule type="containsText" dxfId="67" priority="5" operator="containsText" text="Y">
      <formula>NOT(ISERROR(SEARCH("Y",D7)))</formula>
    </cfRule>
    <cfRule type="containsText" dxfId="66" priority="6" operator="containsText" text="O">
      <formula>NOT(ISERROR(SEARCH("O",D7)))</formula>
    </cfRule>
    <cfRule type="containsText" dxfId="65" priority="7" operator="containsText" text="BR">
      <formula>NOT(ISERROR(SEARCH("BR",D7)))</formula>
    </cfRule>
    <cfRule type="containsText" dxfId="64" priority="8" operator="containsText" text="U">
      <formula>NOT(ISERROR(SEARCH("U",D7)))</formula>
    </cfRule>
    <cfRule type="containsText" dxfId="63" priority="9" operator="containsText" text="R">
      <formula>NOT(ISERROR(SEARCH("R",D7)))</formula>
    </cfRule>
    <cfRule type="containsText" dxfId="62" priority="10" operator="containsText" text="BK">
      <formula>NOT(ISERROR(SEARCH("BK",D7)))</formula>
    </cfRule>
  </conditionalFormatting>
  <conditionalFormatting sqref="F7:G48">
    <cfRule type="containsBlanks" dxfId="61" priority="4">
      <formula>LEN(TRIM(F7))=0</formula>
    </cfRule>
  </conditionalFormatting>
  <conditionalFormatting sqref="F53:G53">
    <cfRule type="cellIs" dxfId="6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80B3395C-E1A6-3E41-8FB9-2D22D1CD414A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F534-EBF2-CB43-AE4E-7622B0101C01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59" priority="2" operator="equal">
      <formula>0</formula>
    </cfRule>
  </conditionalFormatting>
  <conditionalFormatting sqref="C2:J5">
    <cfRule type="cellIs" dxfId="58" priority="1" operator="equal">
      <formula>0</formula>
    </cfRule>
  </conditionalFormatting>
  <conditionalFormatting sqref="D7:D48 I7:I48">
    <cfRule type="containsText" dxfId="57" priority="5" operator="containsText" text="Y">
      <formula>NOT(ISERROR(SEARCH("Y",D7)))</formula>
    </cfRule>
    <cfRule type="containsText" dxfId="56" priority="6" operator="containsText" text="O">
      <formula>NOT(ISERROR(SEARCH("O",D7)))</formula>
    </cfRule>
    <cfRule type="containsText" dxfId="55" priority="7" operator="containsText" text="BR">
      <formula>NOT(ISERROR(SEARCH("BR",D7)))</formula>
    </cfRule>
    <cfRule type="containsText" dxfId="54" priority="8" operator="containsText" text="U">
      <formula>NOT(ISERROR(SEARCH("U",D7)))</formula>
    </cfRule>
    <cfRule type="containsText" dxfId="53" priority="9" operator="containsText" text="R">
      <formula>NOT(ISERROR(SEARCH("R",D7)))</formula>
    </cfRule>
    <cfRule type="containsText" dxfId="52" priority="10" operator="containsText" text="BK">
      <formula>NOT(ISERROR(SEARCH("BK",D7)))</formula>
    </cfRule>
  </conditionalFormatting>
  <conditionalFormatting sqref="F7:G48">
    <cfRule type="containsBlanks" dxfId="51" priority="4">
      <formula>LEN(TRIM(F7))=0</formula>
    </cfRule>
  </conditionalFormatting>
  <conditionalFormatting sqref="F53:G53">
    <cfRule type="cellIs" dxfId="5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613B8D6E-B3F1-D042-8705-DD9A2CC44D8B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F5A4-8EC6-AA4F-803A-87D85E633A08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49" priority="2" operator="equal">
      <formula>0</formula>
    </cfRule>
  </conditionalFormatting>
  <conditionalFormatting sqref="C2:J5">
    <cfRule type="cellIs" dxfId="48" priority="1" operator="equal">
      <formula>0</formula>
    </cfRule>
  </conditionalFormatting>
  <conditionalFormatting sqref="D7:D48 I7:I48">
    <cfRule type="containsText" dxfId="47" priority="5" operator="containsText" text="Y">
      <formula>NOT(ISERROR(SEARCH("Y",D7)))</formula>
    </cfRule>
    <cfRule type="containsText" dxfId="46" priority="6" operator="containsText" text="O">
      <formula>NOT(ISERROR(SEARCH("O",D7)))</formula>
    </cfRule>
    <cfRule type="containsText" dxfId="45" priority="7" operator="containsText" text="BR">
      <formula>NOT(ISERROR(SEARCH("BR",D7)))</formula>
    </cfRule>
    <cfRule type="containsText" dxfId="44" priority="8" operator="containsText" text="U">
      <formula>NOT(ISERROR(SEARCH("U",D7)))</formula>
    </cfRule>
    <cfRule type="containsText" dxfId="43" priority="9" operator="containsText" text="R">
      <formula>NOT(ISERROR(SEARCH("R",D7)))</formula>
    </cfRule>
    <cfRule type="containsText" dxfId="42" priority="10" operator="containsText" text="BK">
      <formula>NOT(ISERROR(SEARCH("BK",D7)))</formula>
    </cfRule>
  </conditionalFormatting>
  <conditionalFormatting sqref="F7:G48">
    <cfRule type="containsBlanks" dxfId="41" priority="4">
      <formula>LEN(TRIM(F7))=0</formula>
    </cfRule>
  </conditionalFormatting>
  <conditionalFormatting sqref="F53:G53">
    <cfRule type="cellIs" dxfId="4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ECA07F0B-2E82-D44E-AC53-38B6CE31F66B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0E52-3393-2341-AE18-97EAA728505D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39" priority="2" operator="equal">
      <formula>0</formula>
    </cfRule>
  </conditionalFormatting>
  <conditionalFormatting sqref="C2:J5">
    <cfRule type="cellIs" dxfId="38" priority="1" operator="equal">
      <formula>0</formula>
    </cfRule>
  </conditionalFormatting>
  <conditionalFormatting sqref="D7:D48 I7:I48">
    <cfRule type="containsText" dxfId="37" priority="5" operator="containsText" text="Y">
      <formula>NOT(ISERROR(SEARCH("Y",D7)))</formula>
    </cfRule>
    <cfRule type="containsText" dxfId="36" priority="6" operator="containsText" text="O">
      <formula>NOT(ISERROR(SEARCH("O",D7)))</formula>
    </cfRule>
    <cfRule type="containsText" dxfId="35" priority="7" operator="containsText" text="BR">
      <formula>NOT(ISERROR(SEARCH("BR",D7)))</formula>
    </cfRule>
    <cfRule type="containsText" dxfId="34" priority="8" operator="containsText" text="U">
      <formula>NOT(ISERROR(SEARCH("U",D7)))</formula>
    </cfRule>
    <cfRule type="containsText" dxfId="33" priority="9" operator="containsText" text="R">
      <formula>NOT(ISERROR(SEARCH("R",D7)))</formula>
    </cfRule>
    <cfRule type="containsText" dxfId="32" priority="10" operator="containsText" text="BK">
      <formula>NOT(ISERROR(SEARCH("BK",D7)))</formula>
    </cfRule>
  </conditionalFormatting>
  <conditionalFormatting sqref="F7:G48">
    <cfRule type="containsBlanks" dxfId="31" priority="4">
      <formula>LEN(TRIM(F7))=0</formula>
    </cfRule>
  </conditionalFormatting>
  <conditionalFormatting sqref="F53:G53">
    <cfRule type="cellIs" dxfId="3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1B5895A0-097C-B744-81F8-F2F8E57C41EC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499C-46C3-8648-81D1-0820A32C0316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29" priority="2" operator="equal">
      <formula>0</formula>
    </cfRule>
  </conditionalFormatting>
  <conditionalFormatting sqref="C2:J5">
    <cfRule type="cellIs" dxfId="28" priority="1" operator="equal">
      <formula>0</formula>
    </cfRule>
  </conditionalFormatting>
  <conditionalFormatting sqref="D7:D48 I7:I48">
    <cfRule type="containsText" dxfId="27" priority="5" operator="containsText" text="Y">
      <formula>NOT(ISERROR(SEARCH("Y",D7)))</formula>
    </cfRule>
    <cfRule type="containsText" dxfId="26" priority="6" operator="containsText" text="O">
      <formula>NOT(ISERROR(SEARCH("O",D7)))</formula>
    </cfRule>
    <cfRule type="containsText" dxfId="25" priority="7" operator="containsText" text="BR">
      <formula>NOT(ISERROR(SEARCH("BR",D7)))</formula>
    </cfRule>
    <cfRule type="containsText" dxfId="24" priority="8" operator="containsText" text="U">
      <formula>NOT(ISERROR(SEARCH("U",D7)))</formula>
    </cfRule>
    <cfRule type="containsText" dxfId="23" priority="9" operator="containsText" text="R">
      <formula>NOT(ISERROR(SEARCH("R",D7)))</formula>
    </cfRule>
    <cfRule type="containsText" dxfId="22" priority="10" operator="containsText" text="BK">
      <formula>NOT(ISERROR(SEARCH("BK",D7)))</formula>
    </cfRule>
  </conditionalFormatting>
  <conditionalFormatting sqref="F7:G48">
    <cfRule type="containsBlanks" dxfId="21" priority="4">
      <formula>LEN(TRIM(F7))=0</formula>
    </cfRule>
  </conditionalFormatting>
  <conditionalFormatting sqref="F53:G53">
    <cfRule type="cellIs" dxfId="2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1FE5A790-28EE-DA43-807D-FEEB9EF80F8B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9EC3-E17E-1B4B-A48F-E1E313F8AD8C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19" priority="2" operator="equal">
      <formula>0</formula>
    </cfRule>
  </conditionalFormatting>
  <conditionalFormatting sqref="C2:J5">
    <cfRule type="cellIs" dxfId="18" priority="1" operator="equal">
      <formula>0</formula>
    </cfRule>
  </conditionalFormatting>
  <conditionalFormatting sqref="D7:D48 I7:I48">
    <cfRule type="containsText" dxfId="17" priority="5" operator="containsText" text="Y">
      <formula>NOT(ISERROR(SEARCH("Y",D7)))</formula>
    </cfRule>
    <cfRule type="containsText" dxfId="16" priority="6" operator="containsText" text="O">
      <formula>NOT(ISERROR(SEARCH("O",D7)))</formula>
    </cfRule>
    <cfRule type="containsText" dxfId="15" priority="7" operator="containsText" text="BR">
      <formula>NOT(ISERROR(SEARCH("BR",D7)))</formula>
    </cfRule>
    <cfRule type="containsText" dxfId="14" priority="8" operator="containsText" text="U">
      <formula>NOT(ISERROR(SEARCH("U",D7)))</formula>
    </cfRule>
    <cfRule type="containsText" dxfId="13" priority="9" operator="containsText" text="R">
      <formula>NOT(ISERROR(SEARCH("R",D7)))</formula>
    </cfRule>
    <cfRule type="containsText" dxfId="12" priority="10" operator="containsText" text="BK">
      <formula>NOT(ISERROR(SEARCH("BK",D7)))</formula>
    </cfRule>
  </conditionalFormatting>
  <conditionalFormatting sqref="F7:G48">
    <cfRule type="containsBlanks" dxfId="11" priority="4">
      <formula>LEN(TRIM(F7))=0</formula>
    </cfRule>
  </conditionalFormatting>
  <conditionalFormatting sqref="F53:G53">
    <cfRule type="cellIs" dxfId="1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1EB6801B-7E2D-1C42-877D-4908F4C3BB52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D038-9D84-754D-B034-33FC3A715149}">
  <dimension ref="A1:AR342"/>
  <sheetViews>
    <sheetView topLeftCell="B1" zoomScaleNormal="100" workbookViewId="0">
      <selection sqref="A1:A1048576"/>
    </sheetView>
  </sheetViews>
  <sheetFormatPr baseColWidth="10" defaultColWidth="0" defaultRowHeight="16" zeroHeight="1" x14ac:dyDescent="0.2"/>
  <cols>
    <col min="1" max="1" width="4" hidden="1" customWidth="1"/>
    <col min="2" max="2" width="1.5" customWidth="1"/>
    <col min="3" max="3" width="3.6640625" customWidth="1"/>
    <col min="4" max="4" width="5.5" customWidth="1"/>
    <col min="5" max="5" width="5.5" style="21" customWidth="1"/>
    <col min="6" max="7" width="32.5" customWidth="1"/>
    <col min="8" max="8" width="5.5" style="21" customWidth="1"/>
    <col min="9" max="9" width="5.5" customWidth="1"/>
    <col min="10" max="10" width="3.6640625" customWidth="1"/>
    <col min="11" max="11" width="10" hidden="1"/>
    <col min="12" max="12" width="10.1640625" hidden="1"/>
    <col min="13" max="14" width="10.33203125" hidden="1"/>
    <col min="15" max="16" width="8.83203125" hidden="1"/>
    <col min="17" max="17" width="11.83203125" hidden="1"/>
    <col min="18" max="21" width="8.83203125" hidden="1"/>
    <col min="22" max="23" width="8.6640625" hidden="1"/>
    <col min="45" max="16384" width="8.83203125" hidden="1"/>
  </cols>
  <sheetData>
    <row r="1" spans="1:44" x14ac:dyDescent="0.2"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3" x14ac:dyDescent="0.2">
      <c r="A2" s="3"/>
      <c r="B2" s="4"/>
      <c r="C2" s="42" t="str">
        <f>IFERROR(VLOOKUP(F2,[1]Schedule!B8:I120,7,FALSE),"")</f>
        <v/>
      </c>
      <c r="D2" s="43"/>
      <c r="E2" s="44"/>
      <c r="F2" s="45"/>
      <c r="G2" s="46"/>
      <c r="H2" s="47" t="str">
        <f>IFERROR(VLOOKUP(F2,[1]Schedule!B8:I120,12,FALSE),"")</f>
        <v/>
      </c>
      <c r="I2" s="48"/>
      <c r="J2" s="5"/>
      <c r="K2" s="1"/>
      <c r="L2" s="1"/>
      <c r="M2" s="1"/>
      <c r="N2" s="1"/>
      <c r="O2" s="1"/>
      <c r="P2" s="6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3"/>
      <c r="B3" s="4"/>
      <c r="C3" s="24" t="s">
        <v>0</v>
      </c>
      <c r="D3" s="25"/>
      <c r="E3" s="26"/>
      <c r="F3" s="8" t="str">
        <f>IFERROR(VLOOKUP(F2,[1]Schedule!B8:I120,5,FALSE),"")</f>
        <v/>
      </c>
      <c r="G3" s="9" t="s">
        <v>1</v>
      </c>
      <c r="H3" s="49" t="str">
        <f>IFERROR(VLOOKUP(F2,[1]Schedule!B8:I120,3,FALSE),"")</f>
        <v/>
      </c>
      <c r="I3" s="50"/>
      <c r="J3" s="51"/>
      <c r="K3" s="1"/>
      <c r="L3" s="1"/>
      <c r="M3" s="1"/>
      <c r="N3" s="1"/>
      <c r="O3" s="1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customHeight="1" x14ac:dyDescent="0.2">
      <c r="A4" s="3"/>
      <c r="B4" s="4"/>
      <c r="C4" s="24" t="s">
        <v>2</v>
      </c>
      <c r="D4" s="25"/>
      <c r="E4" s="26"/>
      <c r="F4" s="10" t="str">
        <f>IFERROR(VLOOKUP(F2,[1]Schedule!B8:I120,6,FALSE),"")</f>
        <v/>
      </c>
      <c r="G4" s="9" t="s">
        <v>3</v>
      </c>
      <c r="H4" s="39" t="str">
        <f>IFERROR(VLOOKUP(F2,[1]Schedule!B8:I120,4,FALSE),"")</f>
        <v/>
      </c>
      <c r="I4" s="40"/>
      <c r="J4" s="41"/>
      <c r="K4" s="1"/>
      <c r="L4" s="1"/>
      <c r="M4" s="1"/>
      <c r="N4" s="1"/>
      <c r="O4" s="1"/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customHeight="1" x14ac:dyDescent="0.2">
      <c r="A5" s="3"/>
      <c r="B5" s="4"/>
      <c r="C5" s="24" t="s">
        <v>4</v>
      </c>
      <c r="D5" s="25"/>
      <c r="E5" s="26"/>
      <c r="F5" s="11" t="str">
        <f>IFERROR(VLOOKUP(F2,[1]Schedule!B8:I120,2,FALSE),"")</f>
        <v/>
      </c>
      <c r="G5" s="12" t="s">
        <v>5</v>
      </c>
      <c r="H5" s="27" t="str">
        <f>IFERROR(VLOOKUP(F2,[1]Schedule!B8:J120,9,FALSE),"")</f>
        <v/>
      </c>
      <c r="I5" s="28"/>
      <c r="J5" s="29"/>
      <c r="K5" s="1"/>
      <c r="L5" s="1"/>
      <c r="M5" s="1"/>
      <c r="N5" s="1"/>
      <c r="O5" s="1"/>
      <c r="P5" s="6"/>
      <c r="Q5" s="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6" customHeight="1" x14ac:dyDescent="0.2">
      <c r="A6" s="13"/>
      <c r="B6" s="14"/>
      <c r="C6" s="15" t="s">
        <v>6</v>
      </c>
      <c r="D6" s="16" t="s">
        <v>7</v>
      </c>
      <c r="E6" s="15" t="s">
        <v>8</v>
      </c>
      <c r="F6" s="16" t="s">
        <v>9</v>
      </c>
      <c r="G6" s="16" t="s">
        <v>9</v>
      </c>
      <c r="H6" s="15" t="s">
        <v>8</v>
      </c>
      <c r="I6" s="16" t="s">
        <v>7</v>
      </c>
      <c r="J6" s="16" t="s">
        <v>6</v>
      </c>
      <c r="K6" s="1"/>
      <c r="L6" s="1"/>
      <c r="M6" s="6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4" ht="26" customHeight="1" x14ac:dyDescent="0.2">
      <c r="A7" s="3"/>
      <c r="B7" s="4"/>
      <c r="C7" s="17">
        <v>1</v>
      </c>
      <c r="D7" s="18" t="str">
        <f>IFERROR(VLOOKUP(C7&amp;#REF!&amp;#REF!,$T$7:$U$342,2,FALSE),"")</f>
        <v/>
      </c>
      <c r="E7" s="19" t="s">
        <v>10</v>
      </c>
      <c r="F7" s="20"/>
      <c r="G7" s="22"/>
      <c r="H7" s="19" t="s">
        <v>10</v>
      </c>
      <c r="I7" s="18" t="str">
        <f>IFERROR(VLOOKUP(J7&amp;#REF!&amp;#REF!,$T$7:$U$342,2,FALSE),"")</f>
        <v/>
      </c>
      <c r="J7" s="17">
        <v>2</v>
      </c>
      <c r="K7" s="1"/>
      <c r="L7" s="1"/>
      <c r="M7" s="1"/>
      <c r="N7" s="1"/>
      <c r="O7" s="1"/>
      <c r="P7" s="1">
        <v>1</v>
      </c>
      <c r="Q7" s="1" t="str">
        <f>P7&amp;$R$8&amp;$R$11</f>
        <v>1LV3</v>
      </c>
      <c r="R7" s="1" t="s">
        <v>11</v>
      </c>
      <c r="S7" s="1"/>
      <c r="T7" s="7" t="s">
        <v>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4" ht="26" customHeight="1" x14ac:dyDescent="0.2">
      <c r="A8" s="3"/>
      <c r="B8" s="4"/>
      <c r="C8" s="17">
        <v>3</v>
      </c>
      <c r="D8" s="18" t="str">
        <f>IFERROR(VLOOKUP(C8&amp;#REF!&amp;#REF!,$T$7:$U$342,2,FALSE),"")</f>
        <v/>
      </c>
      <c r="E8" s="19" t="s">
        <v>10</v>
      </c>
      <c r="F8" s="20"/>
      <c r="G8" s="22"/>
      <c r="H8" s="19" t="s">
        <v>10</v>
      </c>
      <c r="I8" s="18" t="str">
        <f>IFERROR(VLOOKUP(J8&amp;#REF!&amp;#REF!,$T$7:$U$342,2,FALSE),"")</f>
        <v/>
      </c>
      <c r="J8" s="17">
        <v>4</v>
      </c>
      <c r="K8" s="1"/>
      <c r="L8" s="1"/>
      <c r="M8" s="1"/>
      <c r="N8" s="1"/>
      <c r="O8" s="1"/>
      <c r="P8" s="1"/>
      <c r="Q8" s="1"/>
      <c r="R8" s="1" t="s">
        <v>13</v>
      </c>
      <c r="S8" s="1">
        <v>2</v>
      </c>
      <c r="T8" s="1" t="str">
        <f t="shared" ref="T8:T71" si="0">S8&amp;$R$8&amp;$R$11</f>
        <v>2LV3</v>
      </c>
      <c r="U8" s="1" t="s">
        <v>11</v>
      </c>
      <c r="V8" s="1"/>
      <c r="W8" s="7" t="s">
        <v>12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 customHeight="1" x14ac:dyDescent="0.2">
      <c r="A9" s="3"/>
      <c r="B9" s="4"/>
      <c r="C9" s="17">
        <v>5</v>
      </c>
      <c r="D9" s="18" t="str">
        <f>IFERROR(VLOOKUP(C9&amp;#REF!&amp;#REF!,$T$7:$U$342,2,FALSE),"")</f>
        <v/>
      </c>
      <c r="E9" s="19" t="s">
        <v>10</v>
      </c>
      <c r="F9" s="20"/>
      <c r="G9" s="20"/>
      <c r="H9" s="19" t="s">
        <v>10</v>
      </c>
      <c r="I9" s="18" t="str">
        <f>IFERROR(VLOOKUP(J9&amp;#REF!&amp;#REF!,$T$7:$U$342,2,FALSE),"")</f>
        <v/>
      </c>
      <c r="J9" s="17">
        <v>6</v>
      </c>
      <c r="K9" s="1"/>
      <c r="L9" s="1"/>
      <c r="M9" s="1"/>
      <c r="N9" s="1"/>
      <c r="O9" s="1"/>
      <c r="P9" s="1"/>
      <c r="Q9" s="1"/>
      <c r="R9" s="1" t="s">
        <v>14</v>
      </c>
      <c r="S9" s="1">
        <v>3</v>
      </c>
      <c r="T9" s="1" t="str">
        <f t="shared" si="0"/>
        <v>3LV3</v>
      </c>
      <c r="U9" s="1" t="s">
        <v>15</v>
      </c>
      <c r="V9" s="1"/>
      <c r="W9" s="7" t="s">
        <v>16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2">
      <c r="A10" s="3"/>
      <c r="B10" s="4"/>
      <c r="C10" s="17">
        <v>7</v>
      </c>
      <c r="D10" s="18" t="str">
        <f>IFERROR(VLOOKUP(C10&amp;#REF!&amp;#REF!,$T$7:$U$342,2,FALSE),"")</f>
        <v/>
      </c>
      <c r="E10" s="19" t="s">
        <v>10</v>
      </c>
      <c r="F10" s="20"/>
      <c r="G10" s="20"/>
      <c r="H10" s="19" t="s">
        <v>10</v>
      </c>
      <c r="I10" s="18" t="str">
        <f>IFERROR(VLOOKUP(J10&amp;#REF!&amp;#REF!,$T$7:$U$342,2,FALSE),"")</f>
        <v/>
      </c>
      <c r="J10" s="17">
        <v>8</v>
      </c>
      <c r="K10" s="1"/>
      <c r="L10" s="1"/>
      <c r="M10" s="1"/>
      <c r="N10" s="1"/>
      <c r="O10" s="1"/>
      <c r="P10" s="1"/>
      <c r="Q10" s="1"/>
      <c r="R10" s="1">
        <v>1</v>
      </c>
      <c r="S10" s="1">
        <v>4</v>
      </c>
      <c r="T10" s="1" t="str">
        <f t="shared" si="0"/>
        <v>4LV3</v>
      </c>
      <c r="U10" s="1" t="s">
        <v>15</v>
      </c>
      <c r="V10" s="1"/>
      <c r="W10" s="7" t="s">
        <v>17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6" customHeight="1" x14ac:dyDescent="0.2">
      <c r="A11" s="3"/>
      <c r="B11" s="4"/>
      <c r="C11" s="17">
        <v>9</v>
      </c>
      <c r="D11" s="18" t="str">
        <f>IFERROR(VLOOKUP(C11&amp;#REF!&amp;#REF!,$T$7:$U$342,2,FALSE),"")</f>
        <v/>
      </c>
      <c r="E11" s="19" t="s">
        <v>10</v>
      </c>
      <c r="F11" s="20"/>
      <c r="G11" s="20"/>
      <c r="H11" s="19" t="s">
        <v>10</v>
      </c>
      <c r="I11" s="18" t="str">
        <f>IFERROR(VLOOKUP(J11&amp;#REF!&amp;#REF!,$T$7:$U$342,2,FALSE),"")</f>
        <v/>
      </c>
      <c r="J11" s="17">
        <v>10</v>
      </c>
      <c r="K11" s="1"/>
      <c r="L11" s="1"/>
      <c r="M11" s="1"/>
      <c r="N11" s="1"/>
      <c r="O11" s="1"/>
      <c r="P11" s="1"/>
      <c r="Q11" s="1"/>
      <c r="R11" s="1">
        <v>3</v>
      </c>
      <c r="S11" s="1">
        <v>5</v>
      </c>
      <c r="T11" s="1" t="str">
        <f t="shared" si="0"/>
        <v>5LV3</v>
      </c>
      <c r="U11" s="1" t="s">
        <v>18</v>
      </c>
      <c r="V11" s="1"/>
      <c r="W11" s="7" t="s">
        <v>17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6" customHeight="1" x14ac:dyDescent="0.2">
      <c r="A12" s="3"/>
      <c r="B12" s="4"/>
      <c r="C12" s="17">
        <v>11</v>
      </c>
      <c r="D12" s="18" t="str">
        <f>IFERROR(VLOOKUP(C12&amp;#REF!&amp;#REF!,$T$7:$U$342,2,FALSE),"")</f>
        <v/>
      </c>
      <c r="E12" s="19" t="s">
        <v>10</v>
      </c>
      <c r="F12" s="20"/>
      <c r="G12" s="20"/>
      <c r="H12" s="19" t="s">
        <v>10</v>
      </c>
      <c r="I12" s="18" t="str">
        <f>IFERROR(VLOOKUP(J12&amp;#REF!&amp;#REF!,$T$7:$U$342,2,FALSE),"")</f>
        <v/>
      </c>
      <c r="J12" s="17">
        <v>12</v>
      </c>
      <c r="K12" s="1"/>
      <c r="L12" s="1"/>
      <c r="M12" s="1"/>
      <c r="N12" s="1"/>
      <c r="O12" s="1"/>
      <c r="P12" s="1"/>
      <c r="Q12" s="1"/>
      <c r="R12" s="1"/>
      <c r="S12" s="1">
        <v>6</v>
      </c>
      <c r="T12" s="1" t="str">
        <f t="shared" si="0"/>
        <v>6LV3</v>
      </c>
      <c r="U12" s="1" t="s">
        <v>18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26" customHeight="1" x14ac:dyDescent="0.2">
      <c r="A13" s="3"/>
      <c r="B13" s="4"/>
      <c r="C13" s="17">
        <v>13</v>
      </c>
      <c r="D13" s="18" t="str">
        <f>IFERROR(VLOOKUP(C13&amp;#REF!&amp;#REF!,$T$7:$U$342,2,FALSE),"")</f>
        <v/>
      </c>
      <c r="E13" s="19" t="s">
        <v>10</v>
      </c>
      <c r="F13" s="20"/>
      <c r="G13" s="20"/>
      <c r="H13" s="19" t="s">
        <v>10</v>
      </c>
      <c r="I13" s="18" t="str">
        <f>IFERROR(VLOOKUP(J13&amp;#REF!&amp;#REF!,$T$7:$U$342,2,FALSE),"")</f>
        <v/>
      </c>
      <c r="J13" s="17">
        <v>14</v>
      </c>
      <c r="K13" s="1"/>
      <c r="L13" s="1"/>
      <c r="M13" s="1"/>
      <c r="N13" s="1"/>
      <c r="O13" s="1"/>
      <c r="P13" s="1"/>
      <c r="Q13" s="1"/>
      <c r="R13" s="1"/>
      <c r="S13" s="1">
        <v>7</v>
      </c>
      <c r="T13" s="1" t="str">
        <f t="shared" si="0"/>
        <v>7LV3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6" customHeight="1" x14ac:dyDescent="0.2">
      <c r="A14" s="3"/>
      <c r="B14" s="4"/>
      <c r="C14" s="17">
        <v>15</v>
      </c>
      <c r="D14" s="18" t="str">
        <f>IFERROR(VLOOKUP(C14&amp;#REF!&amp;#REF!,$T$7:$U$342,2,FALSE),"")</f>
        <v/>
      </c>
      <c r="E14" s="19" t="s">
        <v>10</v>
      </c>
      <c r="F14" s="20"/>
      <c r="G14" s="20"/>
      <c r="H14" s="19" t="s">
        <v>10</v>
      </c>
      <c r="I14" s="18" t="str">
        <f>IFERROR(VLOOKUP(J14&amp;#REF!&amp;#REF!,$T$7:$U$342,2,FALSE),"")</f>
        <v/>
      </c>
      <c r="J14" s="17">
        <v>16</v>
      </c>
      <c r="K14" s="1"/>
      <c r="L14" s="1"/>
      <c r="M14" s="1"/>
      <c r="N14" s="1"/>
      <c r="O14" s="1"/>
      <c r="P14" s="1"/>
      <c r="Q14" s="1"/>
      <c r="R14" s="1"/>
      <c r="S14" s="1">
        <v>8</v>
      </c>
      <c r="T14" s="1" t="str">
        <f t="shared" si="0"/>
        <v>8LV3</v>
      </c>
      <c r="U14" s="1" t="s">
        <v>11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6" customHeight="1" x14ac:dyDescent="0.2">
      <c r="A15" s="3"/>
      <c r="B15" s="4"/>
      <c r="C15" s="17">
        <v>17</v>
      </c>
      <c r="D15" s="18" t="str">
        <f>IFERROR(VLOOKUP(C15&amp;#REF!&amp;#REF!,$T$7:$U$342,2,FALSE),"")</f>
        <v/>
      </c>
      <c r="E15" s="19" t="s">
        <v>10</v>
      </c>
      <c r="F15" s="20"/>
      <c r="G15" s="20"/>
      <c r="H15" s="19" t="s">
        <v>10</v>
      </c>
      <c r="I15" s="18" t="str">
        <f>IFERROR(VLOOKUP(J15&amp;#REF!&amp;#REF!,$T$7:$U$342,2,FALSE),"")</f>
        <v/>
      </c>
      <c r="J15" s="17">
        <v>18</v>
      </c>
      <c r="K15" s="1"/>
      <c r="L15" s="1"/>
      <c r="M15" s="1"/>
      <c r="N15" s="1"/>
      <c r="O15" s="1"/>
      <c r="P15" s="1"/>
      <c r="Q15" s="1"/>
      <c r="R15" s="1"/>
      <c r="S15" s="1">
        <v>9</v>
      </c>
      <c r="T15" s="1" t="str">
        <f t="shared" si="0"/>
        <v>9LV3</v>
      </c>
      <c r="U15" s="1" t="s">
        <v>15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6" customHeight="1" x14ac:dyDescent="0.2">
      <c r="A16" s="3"/>
      <c r="B16" s="4"/>
      <c r="C16" s="17">
        <v>19</v>
      </c>
      <c r="D16" s="18" t="str">
        <f>IFERROR(VLOOKUP(C16&amp;#REF!&amp;#REF!,$T$7:$U$342,2,FALSE),"")</f>
        <v/>
      </c>
      <c r="E16" s="19" t="s">
        <v>10</v>
      </c>
      <c r="F16" s="20"/>
      <c r="G16" s="20"/>
      <c r="H16" s="19" t="s">
        <v>10</v>
      </c>
      <c r="I16" s="18" t="str">
        <f>IFERROR(VLOOKUP(J16&amp;#REF!&amp;#REF!,$T$7:$U$342,2,FALSE),"")</f>
        <v/>
      </c>
      <c r="J16" s="17">
        <v>20</v>
      </c>
      <c r="K16" s="1"/>
      <c r="L16" s="1"/>
      <c r="M16" s="1"/>
      <c r="N16" s="1"/>
      <c r="O16" s="1"/>
      <c r="P16" s="1"/>
      <c r="Q16" s="1"/>
      <c r="R16" s="1"/>
      <c r="S16" s="1">
        <v>10</v>
      </c>
      <c r="T16" s="1" t="str">
        <f t="shared" si="0"/>
        <v>10LV3</v>
      </c>
      <c r="U16" s="1" t="s">
        <v>15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2">
      <c r="A17" s="3"/>
      <c r="B17" s="4"/>
      <c r="C17" s="17">
        <v>21</v>
      </c>
      <c r="D17" s="18" t="str">
        <f>IFERROR(VLOOKUP(C17&amp;#REF!&amp;#REF!,$T$7:$U$342,2,FALSE),"")</f>
        <v/>
      </c>
      <c r="E17" s="19" t="s">
        <v>10</v>
      </c>
      <c r="F17" s="20"/>
      <c r="G17" s="20"/>
      <c r="H17" s="19" t="s">
        <v>10</v>
      </c>
      <c r="I17" s="18" t="str">
        <f>IFERROR(VLOOKUP(J17&amp;#REF!&amp;#REF!,$T$7:$U$342,2,FALSE),"")</f>
        <v/>
      </c>
      <c r="J17" s="17">
        <v>22</v>
      </c>
      <c r="K17" s="1"/>
      <c r="L17" s="1"/>
      <c r="M17" s="1"/>
      <c r="N17" s="1"/>
      <c r="O17" s="1"/>
      <c r="P17" s="1"/>
      <c r="Q17" s="1"/>
      <c r="R17" s="1"/>
      <c r="S17" s="1">
        <v>11</v>
      </c>
      <c r="T17" s="1" t="str">
        <f t="shared" si="0"/>
        <v>11LV3</v>
      </c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2">
      <c r="A18" s="3"/>
      <c r="B18" s="4"/>
      <c r="C18" s="17">
        <v>23</v>
      </c>
      <c r="D18" s="18" t="str">
        <f>IFERROR(VLOOKUP(C18&amp;#REF!&amp;#REF!,$T$7:$U$342,2,FALSE),"")</f>
        <v/>
      </c>
      <c r="E18" s="19" t="s">
        <v>10</v>
      </c>
      <c r="F18" s="20"/>
      <c r="G18" s="20"/>
      <c r="H18" s="19" t="s">
        <v>10</v>
      </c>
      <c r="I18" s="18" t="str">
        <f>IFERROR(VLOOKUP(J18&amp;#REF!&amp;#REF!,$T$7:$U$342,2,FALSE),"")</f>
        <v/>
      </c>
      <c r="J18" s="17">
        <v>24</v>
      </c>
      <c r="K18" s="1"/>
      <c r="L18" s="1"/>
      <c r="M18" s="1"/>
      <c r="N18" s="1"/>
      <c r="O18" s="1"/>
      <c r="P18" s="1"/>
      <c r="Q18" s="1"/>
      <c r="R18" s="1"/>
      <c r="S18" s="1">
        <v>12</v>
      </c>
      <c r="T18" s="1" t="str">
        <f t="shared" si="0"/>
        <v>12LV3</v>
      </c>
      <c r="U18" s="1" t="s">
        <v>18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26" customHeight="1" x14ac:dyDescent="0.2">
      <c r="A19" s="3"/>
      <c r="B19" s="4"/>
      <c r="C19" s="17">
        <v>25</v>
      </c>
      <c r="D19" s="18" t="str">
        <f>IFERROR(VLOOKUP(C19&amp;#REF!&amp;#REF!,$T$7:$U$342,2,FALSE),"")</f>
        <v/>
      </c>
      <c r="E19" s="19" t="s">
        <v>10</v>
      </c>
      <c r="F19" s="20"/>
      <c r="G19" s="20"/>
      <c r="H19" s="19" t="s">
        <v>10</v>
      </c>
      <c r="I19" s="18" t="str">
        <f>IFERROR(VLOOKUP(J19&amp;#REF!&amp;#REF!,$T$7:$U$342,2,FALSE),"")</f>
        <v/>
      </c>
      <c r="J19" s="17">
        <v>26</v>
      </c>
      <c r="K19" s="1"/>
      <c r="L19" s="1"/>
      <c r="M19" s="1"/>
      <c r="N19" s="1"/>
      <c r="O19" s="1"/>
      <c r="P19" s="1"/>
      <c r="Q19" s="1"/>
      <c r="R19" s="1"/>
      <c r="S19" s="1">
        <v>13</v>
      </c>
      <c r="T19" s="1" t="str">
        <f t="shared" si="0"/>
        <v>13LV3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2">
      <c r="A20" s="3"/>
      <c r="B20" s="4"/>
      <c r="C20" s="17">
        <v>27</v>
      </c>
      <c r="D20" s="18" t="str">
        <f>IFERROR(VLOOKUP(C20&amp;#REF!&amp;#REF!,$T$7:$U$342,2,FALSE),"")</f>
        <v/>
      </c>
      <c r="E20" s="19" t="s">
        <v>10</v>
      </c>
      <c r="F20" s="20"/>
      <c r="G20" s="20"/>
      <c r="H20" s="19" t="s">
        <v>10</v>
      </c>
      <c r="I20" s="18" t="str">
        <f>IFERROR(VLOOKUP(J20&amp;#REF!&amp;#REF!,$T$7:$U$342,2,FALSE),"")</f>
        <v/>
      </c>
      <c r="J20" s="17">
        <v>28</v>
      </c>
      <c r="K20" s="1"/>
      <c r="L20" s="1"/>
      <c r="M20" s="1"/>
      <c r="N20" s="1"/>
      <c r="O20" s="1"/>
      <c r="P20" s="1"/>
      <c r="Q20" s="1"/>
      <c r="R20" s="1"/>
      <c r="S20" s="1">
        <v>14</v>
      </c>
      <c r="T20" s="1" t="str">
        <f t="shared" si="0"/>
        <v>14LV3</v>
      </c>
      <c r="U20" s="1" t="s">
        <v>11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2">
      <c r="A21" s="3"/>
      <c r="B21" s="4"/>
      <c r="C21" s="17">
        <v>29</v>
      </c>
      <c r="D21" s="18" t="str">
        <f>IFERROR(VLOOKUP(C21&amp;#REF!&amp;#REF!,$T$7:$U$342,2,FALSE),"")</f>
        <v/>
      </c>
      <c r="E21" s="19" t="s">
        <v>10</v>
      </c>
      <c r="F21" s="20"/>
      <c r="G21" s="20"/>
      <c r="H21" s="19" t="s">
        <v>10</v>
      </c>
      <c r="I21" s="18" t="str">
        <f>IFERROR(VLOOKUP(J21&amp;#REF!&amp;#REF!,$T$7:$U$342,2,FALSE),"")</f>
        <v/>
      </c>
      <c r="J21" s="17">
        <v>30</v>
      </c>
      <c r="K21" s="1"/>
      <c r="L21" s="1"/>
      <c r="M21" s="1"/>
      <c r="N21" s="1"/>
      <c r="O21" s="1"/>
      <c r="P21" s="1"/>
      <c r="Q21" s="1"/>
      <c r="R21" s="1"/>
      <c r="S21" s="1">
        <v>15</v>
      </c>
      <c r="T21" s="1" t="str">
        <f t="shared" si="0"/>
        <v>15LV3</v>
      </c>
      <c r="U21" s="1" t="s">
        <v>15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26" customHeight="1" x14ac:dyDescent="0.2">
      <c r="A22" s="3"/>
      <c r="B22" s="4"/>
      <c r="C22" s="17">
        <v>31</v>
      </c>
      <c r="D22" s="18" t="str">
        <f>IFERROR(VLOOKUP(C22&amp;#REF!&amp;#REF!,$T$7:$U$342,2,FALSE),"")</f>
        <v/>
      </c>
      <c r="E22" s="19" t="s">
        <v>10</v>
      </c>
      <c r="F22" s="20"/>
      <c r="G22" s="20"/>
      <c r="H22" s="19" t="s">
        <v>10</v>
      </c>
      <c r="I22" s="18" t="str">
        <f>IFERROR(VLOOKUP(J22&amp;#REF!&amp;#REF!,$T$7:$U$342,2,FALSE),"")</f>
        <v/>
      </c>
      <c r="J22" s="17">
        <v>32</v>
      </c>
      <c r="K22" s="1"/>
      <c r="L22" s="1"/>
      <c r="M22" s="1"/>
      <c r="N22" s="1"/>
      <c r="O22" s="1"/>
      <c r="P22" s="1"/>
      <c r="Q22" s="1"/>
      <c r="R22" s="1"/>
      <c r="S22" s="1">
        <v>16</v>
      </c>
      <c r="T22" s="1" t="str">
        <f t="shared" si="0"/>
        <v>16LV3</v>
      </c>
      <c r="U22" s="1" t="s">
        <v>15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2">
      <c r="A23" s="3"/>
      <c r="B23" s="4"/>
      <c r="C23" s="17">
        <v>33</v>
      </c>
      <c r="D23" s="18" t="str">
        <f>IFERROR(VLOOKUP(C23&amp;#REF!&amp;#REF!,$T$7:$U$342,2,FALSE),"")</f>
        <v/>
      </c>
      <c r="E23" s="19" t="s">
        <v>10</v>
      </c>
      <c r="F23" s="20"/>
      <c r="G23" s="20"/>
      <c r="H23" s="19" t="s">
        <v>10</v>
      </c>
      <c r="I23" s="18" t="str">
        <f>IFERROR(VLOOKUP(J23&amp;#REF!&amp;#REF!,$T$7:$U$342,2,FALSE),"")</f>
        <v/>
      </c>
      <c r="J23" s="17">
        <v>34</v>
      </c>
      <c r="K23" s="1"/>
      <c r="L23" s="1"/>
      <c r="M23" s="1"/>
      <c r="N23" s="1"/>
      <c r="O23" s="1"/>
      <c r="P23" s="1"/>
      <c r="Q23" s="1"/>
      <c r="R23" s="1"/>
      <c r="S23" s="1">
        <v>17</v>
      </c>
      <c r="T23" s="1" t="str">
        <f t="shared" si="0"/>
        <v>17LV3</v>
      </c>
      <c r="U23" s="1" t="s">
        <v>18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2">
      <c r="A24" s="3"/>
      <c r="B24" s="4"/>
      <c r="C24" s="17">
        <v>35</v>
      </c>
      <c r="D24" s="18" t="str">
        <f>IFERROR(VLOOKUP(C24&amp;#REF!&amp;#REF!,$T$7:$U$342,2,FALSE),"")</f>
        <v/>
      </c>
      <c r="E24" s="19" t="s">
        <v>10</v>
      </c>
      <c r="F24" s="20"/>
      <c r="G24" s="20"/>
      <c r="H24" s="19" t="s">
        <v>10</v>
      </c>
      <c r="I24" s="18" t="str">
        <f>IFERROR(VLOOKUP(J24&amp;#REF!&amp;#REF!,$T$7:$U$342,2,FALSE),"")</f>
        <v/>
      </c>
      <c r="J24" s="17">
        <v>36</v>
      </c>
      <c r="K24" s="1"/>
      <c r="L24" s="1"/>
      <c r="M24" s="1"/>
      <c r="N24" s="1"/>
      <c r="O24" s="1"/>
      <c r="P24" s="1"/>
      <c r="Q24" s="1"/>
      <c r="R24" s="1"/>
      <c r="S24" s="1">
        <v>18</v>
      </c>
      <c r="T24" s="1" t="str">
        <f t="shared" si="0"/>
        <v>18LV3</v>
      </c>
      <c r="U24" s="1" t="s">
        <v>18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26" customHeight="1" x14ac:dyDescent="0.2">
      <c r="A25" s="3"/>
      <c r="B25" s="4"/>
      <c r="C25" s="17">
        <v>37</v>
      </c>
      <c r="D25" s="18" t="str">
        <f>IFERROR(VLOOKUP(C25&amp;#REF!&amp;#REF!,$T$7:$U$342,2,FALSE),"")</f>
        <v/>
      </c>
      <c r="E25" s="19" t="s">
        <v>10</v>
      </c>
      <c r="F25" s="20"/>
      <c r="G25" s="20"/>
      <c r="H25" s="19" t="s">
        <v>10</v>
      </c>
      <c r="I25" s="18" t="str">
        <f>IFERROR(VLOOKUP(J25&amp;#REF!&amp;#REF!,$T$7:$U$342,2,FALSE),"")</f>
        <v/>
      </c>
      <c r="J25" s="17">
        <v>38</v>
      </c>
      <c r="K25" s="1"/>
      <c r="L25" s="1"/>
      <c r="M25" s="1"/>
      <c r="N25" s="1"/>
      <c r="O25" s="1"/>
      <c r="P25" s="1"/>
      <c r="Q25" s="1"/>
      <c r="R25" s="1"/>
      <c r="S25" s="1">
        <v>19</v>
      </c>
      <c r="T25" s="1" t="str">
        <f t="shared" si="0"/>
        <v>19LV3</v>
      </c>
      <c r="U25" s="1" t="s">
        <v>11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2">
      <c r="A26" s="3"/>
      <c r="B26" s="4"/>
      <c r="C26" s="17">
        <v>39</v>
      </c>
      <c r="D26" s="18" t="str">
        <f>IFERROR(VLOOKUP(C26&amp;#REF!&amp;#REF!,$T$7:$U$342,2,FALSE),"")</f>
        <v/>
      </c>
      <c r="E26" s="19" t="s">
        <v>10</v>
      </c>
      <c r="F26" s="20"/>
      <c r="G26" s="20"/>
      <c r="H26" s="19" t="s">
        <v>10</v>
      </c>
      <c r="I26" s="18" t="str">
        <f>IFERROR(VLOOKUP(J26&amp;#REF!&amp;#REF!,$T$7:$U$342,2,FALSE),"")</f>
        <v/>
      </c>
      <c r="J26" s="17">
        <v>40</v>
      </c>
      <c r="K26" s="1"/>
      <c r="L26" s="1"/>
      <c r="M26" s="1"/>
      <c r="N26" s="1"/>
      <c r="O26" s="1"/>
      <c r="P26" s="1"/>
      <c r="Q26" s="1"/>
      <c r="R26" s="1"/>
      <c r="S26" s="1">
        <v>20</v>
      </c>
      <c r="T26" s="1" t="str">
        <f t="shared" si="0"/>
        <v>20LV3</v>
      </c>
      <c r="U26" s="1" t="s">
        <v>11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2">
      <c r="A27" s="3"/>
      <c r="B27" s="4"/>
      <c r="C27" s="17">
        <v>41</v>
      </c>
      <c r="D27" s="18" t="str">
        <f>IFERROR(VLOOKUP(C27&amp;#REF!&amp;#REF!,$T$7:$U$342,2,FALSE),"")</f>
        <v/>
      </c>
      <c r="E27" s="19" t="s">
        <v>10</v>
      </c>
      <c r="F27" s="20"/>
      <c r="G27" s="20"/>
      <c r="H27" s="19" t="s">
        <v>10</v>
      </c>
      <c r="I27" s="18" t="str">
        <f>IFERROR(VLOOKUP(J27&amp;#REF!&amp;#REF!,$T$7:$U$342,2,FALSE),"")</f>
        <v/>
      </c>
      <c r="J27" s="17">
        <v>42</v>
      </c>
      <c r="K27" s="1"/>
      <c r="L27" s="1"/>
      <c r="M27" s="1"/>
      <c r="N27" s="1"/>
      <c r="O27" s="1"/>
      <c r="P27" s="1"/>
      <c r="Q27" s="1"/>
      <c r="R27" s="1"/>
      <c r="S27" s="1">
        <v>21</v>
      </c>
      <c r="T27" s="1" t="str">
        <f t="shared" si="0"/>
        <v>21LV3</v>
      </c>
      <c r="U27" s="1" t="s">
        <v>15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26" hidden="1" customHeight="1" x14ac:dyDescent="0.2">
      <c r="A28" s="3"/>
      <c r="B28" s="4"/>
      <c r="C28" s="17">
        <v>43</v>
      </c>
      <c r="D28" s="18" t="str">
        <f>IFERROR(VLOOKUP(C28&amp;#REF!&amp;#REF!,$T$7:$U$342,2,FALSE),"")</f>
        <v/>
      </c>
      <c r="E28" s="19" t="s">
        <v>10</v>
      </c>
      <c r="F28" s="20"/>
      <c r="G28" s="20"/>
      <c r="H28" s="19" t="s">
        <v>10</v>
      </c>
      <c r="I28" s="18" t="str">
        <f>IFERROR(VLOOKUP(J28&amp;#REF!&amp;#REF!,$T$7:$U$342,2,FALSE),"")</f>
        <v/>
      </c>
      <c r="J28" s="17">
        <v>44</v>
      </c>
      <c r="K28" s="1"/>
      <c r="L28" s="1"/>
      <c r="M28" s="1"/>
      <c r="N28" s="1"/>
      <c r="O28" s="1"/>
      <c r="P28" s="1"/>
      <c r="Q28" s="1"/>
      <c r="R28" s="1"/>
      <c r="S28" s="1">
        <v>22</v>
      </c>
      <c r="T28" s="1" t="str">
        <f t="shared" si="0"/>
        <v>22LV3</v>
      </c>
      <c r="U28" s="1" t="s">
        <v>15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hidden="1" customHeight="1" x14ac:dyDescent="0.2">
      <c r="A29" s="3"/>
      <c r="B29" s="4"/>
      <c r="C29" s="17">
        <v>45</v>
      </c>
      <c r="D29" s="18" t="str">
        <f>IFERROR(VLOOKUP(C29&amp;#REF!&amp;#REF!,$T$7:$U$342,2,FALSE),"")</f>
        <v/>
      </c>
      <c r="E29" s="19" t="s">
        <v>10</v>
      </c>
      <c r="F29" s="20"/>
      <c r="G29" s="20"/>
      <c r="H29" s="19" t="s">
        <v>10</v>
      </c>
      <c r="I29" s="18" t="str">
        <f>IFERROR(VLOOKUP(J29&amp;#REF!&amp;#REF!,$T$7:$U$342,2,FALSE),"")</f>
        <v/>
      </c>
      <c r="J29" s="17">
        <v>46</v>
      </c>
      <c r="K29" s="1"/>
      <c r="L29" s="1"/>
      <c r="M29" s="1"/>
      <c r="N29" s="1"/>
      <c r="O29" s="1"/>
      <c r="P29" s="1"/>
      <c r="Q29" s="1"/>
      <c r="R29" s="1"/>
      <c r="S29" s="1">
        <v>23</v>
      </c>
      <c r="T29" s="1" t="str">
        <f t="shared" si="0"/>
        <v>23LV3</v>
      </c>
      <c r="U29" s="1" t="s">
        <v>18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hidden="1" customHeight="1" x14ac:dyDescent="0.2">
      <c r="A30" s="3"/>
      <c r="B30" s="4"/>
      <c r="C30" s="17">
        <v>47</v>
      </c>
      <c r="D30" s="18" t="str">
        <f>IFERROR(VLOOKUP(C30&amp;#REF!&amp;#REF!,$T$7:$U$342,2,FALSE),"")</f>
        <v/>
      </c>
      <c r="E30" s="19" t="s">
        <v>10</v>
      </c>
      <c r="F30" s="20"/>
      <c r="G30" s="20"/>
      <c r="H30" s="19" t="s">
        <v>10</v>
      </c>
      <c r="I30" s="18" t="str">
        <f>IFERROR(VLOOKUP(J30&amp;#REF!&amp;#REF!,$T$7:$U$342,2,FALSE),"")</f>
        <v/>
      </c>
      <c r="J30" s="17">
        <v>48</v>
      </c>
      <c r="K30" s="1"/>
      <c r="L30" s="1"/>
      <c r="M30" s="1"/>
      <c r="N30" s="1"/>
      <c r="O30" s="1"/>
      <c r="P30" s="1"/>
      <c r="Q30" s="1"/>
      <c r="R30" s="1"/>
      <c r="S30" s="1">
        <v>24</v>
      </c>
      <c r="T30" s="1" t="str">
        <f t="shared" si="0"/>
        <v>24LV3</v>
      </c>
      <c r="U30" s="1" t="s">
        <v>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26" hidden="1" customHeight="1" x14ac:dyDescent="0.2">
      <c r="A31" s="3"/>
      <c r="B31" s="4"/>
      <c r="C31" s="17">
        <v>49</v>
      </c>
      <c r="D31" s="18" t="str">
        <f>IFERROR(VLOOKUP(C31&amp;#REF!&amp;#REF!,$T$7:$U$342,2,FALSE),"")</f>
        <v/>
      </c>
      <c r="E31" s="19" t="s">
        <v>10</v>
      </c>
      <c r="F31" s="20"/>
      <c r="G31" s="20"/>
      <c r="H31" s="19" t="s">
        <v>10</v>
      </c>
      <c r="I31" s="18" t="str">
        <f>IFERROR(VLOOKUP(J31&amp;#REF!&amp;#REF!,$T$7:$U$342,2,FALSE),"")</f>
        <v/>
      </c>
      <c r="J31" s="17">
        <v>50</v>
      </c>
      <c r="K31" s="1"/>
      <c r="L31" s="1"/>
      <c r="M31" s="1"/>
      <c r="N31" s="1"/>
      <c r="O31" s="1"/>
      <c r="P31" s="1"/>
      <c r="Q31" s="1"/>
      <c r="R31" s="1"/>
      <c r="S31" s="1">
        <v>25</v>
      </c>
      <c r="T31" s="1" t="str">
        <f t="shared" si="0"/>
        <v>25LV3</v>
      </c>
      <c r="U31" s="1" t="s">
        <v>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26" hidden="1" customHeight="1" x14ac:dyDescent="0.2">
      <c r="A32" s="3"/>
      <c r="B32" s="4"/>
      <c r="C32" s="17">
        <v>51</v>
      </c>
      <c r="D32" s="18" t="str">
        <f>IFERROR(VLOOKUP(C32&amp;#REF!&amp;#REF!,$T$7:$U$342,2,FALSE),"")</f>
        <v/>
      </c>
      <c r="E32" s="19" t="s">
        <v>10</v>
      </c>
      <c r="F32" s="20"/>
      <c r="G32" s="20"/>
      <c r="H32" s="19" t="s">
        <v>10</v>
      </c>
      <c r="I32" s="18" t="str">
        <f>IFERROR(VLOOKUP(J32&amp;#REF!&amp;#REF!,$T$7:$U$342,2,FALSE),"")</f>
        <v/>
      </c>
      <c r="J32" s="17">
        <v>52</v>
      </c>
      <c r="K32" s="1"/>
      <c r="L32" s="1"/>
      <c r="M32" s="1"/>
      <c r="N32" s="1"/>
      <c r="O32" s="1"/>
      <c r="P32" s="1"/>
      <c r="Q32" s="1"/>
      <c r="R32" s="1"/>
      <c r="S32" s="1">
        <v>26</v>
      </c>
      <c r="T32" s="1" t="str">
        <f t="shared" si="0"/>
        <v>26LV3</v>
      </c>
      <c r="U32" s="1" t="s">
        <v>11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2:44" ht="26" hidden="1" customHeight="1" x14ac:dyDescent="0.2">
      <c r="B33" s="1"/>
      <c r="C33" s="17">
        <v>53</v>
      </c>
      <c r="D33" s="18" t="str">
        <f>IFERROR(VLOOKUP(C33&amp;#REF!&amp;#REF!,$T$7:$U$342,2,FALSE),"")</f>
        <v/>
      </c>
      <c r="E33" s="19" t="s">
        <v>10</v>
      </c>
      <c r="F33" s="20"/>
      <c r="G33" s="20"/>
      <c r="H33" s="19" t="s">
        <v>10</v>
      </c>
      <c r="I33" s="18" t="str">
        <f>IFERROR(VLOOKUP(J33&amp;#REF!&amp;#REF!,$T$7:$U$342,2,FALSE),"")</f>
        <v/>
      </c>
      <c r="J33" s="17">
        <v>54</v>
      </c>
      <c r="K33" s="1"/>
      <c r="L33" s="1"/>
      <c r="M33" s="1"/>
      <c r="N33" s="1"/>
      <c r="O33" s="1"/>
      <c r="P33" s="1"/>
      <c r="Q33" s="1"/>
      <c r="R33" s="1"/>
      <c r="S33" s="1">
        <v>27</v>
      </c>
      <c r="T33" s="1" t="str">
        <f t="shared" si="0"/>
        <v>27LV3</v>
      </c>
      <c r="U33" s="1" t="s">
        <v>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2:44" ht="26" hidden="1" customHeight="1" x14ac:dyDescent="0.2">
      <c r="B34" s="1"/>
      <c r="C34" s="17">
        <v>55</v>
      </c>
      <c r="D34" s="18" t="str">
        <f>IFERROR(VLOOKUP(C34&amp;#REF!&amp;#REF!,$T$7:$U$342,2,FALSE),"")</f>
        <v/>
      </c>
      <c r="E34" s="19" t="s">
        <v>10</v>
      </c>
      <c r="F34" s="20"/>
      <c r="G34" s="20"/>
      <c r="H34" s="19" t="s">
        <v>10</v>
      </c>
      <c r="I34" s="18" t="str">
        <f>IFERROR(VLOOKUP(J34&amp;#REF!&amp;#REF!,$T$7:$U$342,2,FALSE),"")</f>
        <v/>
      </c>
      <c r="J34" s="17">
        <v>56</v>
      </c>
      <c r="K34" s="1"/>
      <c r="L34" s="1"/>
      <c r="M34" s="1"/>
      <c r="N34" s="1"/>
      <c r="O34" s="1"/>
      <c r="P34" s="1"/>
      <c r="Q34" s="1"/>
      <c r="R34" s="1"/>
      <c r="S34" s="1">
        <v>28</v>
      </c>
      <c r="T34" s="1" t="str">
        <f t="shared" si="0"/>
        <v>28LV3</v>
      </c>
      <c r="U34" s="1" t="s">
        <v>15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2:44" ht="26" hidden="1" customHeight="1" x14ac:dyDescent="0.2">
      <c r="B35" s="1"/>
      <c r="C35" s="17">
        <v>57</v>
      </c>
      <c r="D35" s="18" t="str">
        <f>IFERROR(VLOOKUP(C35&amp;#REF!&amp;#REF!,$T$7:$U$342,2,FALSE),"")</f>
        <v/>
      </c>
      <c r="E35" s="19" t="s">
        <v>10</v>
      </c>
      <c r="F35" s="20"/>
      <c r="G35" s="20"/>
      <c r="H35" s="19" t="s">
        <v>10</v>
      </c>
      <c r="I35" s="18" t="str">
        <f>IFERROR(VLOOKUP(J35&amp;#REF!&amp;#REF!,$T$7:$U$342,2,FALSE),"")</f>
        <v/>
      </c>
      <c r="J35" s="17">
        <v>58</v>
      </c>
      <c r="K35" s="1"/>
      <c r="L35" s="1"/>
      <c r="M35" s="1"/>
      <c r="N35" s="1"/>
      <c r="O35" s="1"/>
      <c r="P35" s="1"/>
      <c r="Q35" s="1"/>
      <c r="R35" s="1"/>
      <c r="S35" s="1">
        <v>29</v>
      </c>
      <c r="T35" s="1" t="str">
        <f t="shared" si="0"/>
        <v>29LV3</v>
      </c>
      <c r="U35" s="1" t="s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2:44" ht="26" hidden="1" customHeight="1" x14ac:dyDescent="0.2">
      <c r="B36" s="1"/>
      <c r="C36" s="17">
        <v>59</v>
      </c>
      <c r="D36" s="18" t="str">
        <f>IFERROR(VLOOKUP(C36&amp;#REF!&amp;#REF!,$T$7:$U$342,2,FALSE),"")</f>
        <v/>
      </c>
      <c r="E36" s="19" t="s">
        <v>10</v>
      </c>
      <c r="F36" s="20"/>
      <c r="G36" s="20"/>
      <c r="H36" s="19" t="s">
        <v>10</v>
      </c>
      <c r="I36" s="18" t="str">
        <f>IFERROR(VLOOKUP(J36&amp;#REF!&amp;#REF!,$T$7:$U$342,2,FALSE),"")</f>
        <v/>
      </c>
      <c r="J36" s="17">
        <v>60</v>
      </c>
      <c r="K36" s="1"/>
      <c r="L36" s="1"/>
      <c r="M36" s="1"/>
      <c r="N36" s="1"/>
      <c r="O36" s="1"/>
      <c r="P36" s="1"/>
      <c r="Q36" s="1"/>
      <c r="R36" s="1"/>
      <c r="S36" s="1">
        <v>30</v>
      </c>
      <c r="T36" s="1" t="str">
        <f t="shared" si="0"/>
        <v>30LV3</v>
      </c>
      <c r="U36" s="1" t="s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2:44" ht="26" hidden="1" customHeight="1" x14ac:dyDescent="0.2">
      <c r="B37" s="1"/>
      <c r="C37" s="17">
        <v>61</v>
      </c>
      <c r="D37" s="18" t="str">
        <f>IFERROR(VLOOKUP(C37&amp;#REF!&amp;#REF!,$T$7:$U$342,2,FALSE),"")</f>
        <v/>
      </c>
      <c r="E37" s="19" t="s">
        <v>10</v>
      </c>
      <c r="F37" s="20"/>
      <c r="G37" s="20"/>
      <c r="H37" s="19" t="s">
        <v>10</v>
      </c>
      <c r="I37" s="18" t="str">
        <f>IFERROR(VLOOKUP(J37&amp;#REF!&amp;#REF!,$T$7:$U$342,2,FALSE),"")</f>
        <v/>
      </c>
      <c r="J37" s="17">
        <v>62</v>
      </c>
      <c r="K37" s="1"/>
      <c r="L37" s="1"/>
      <c r="M37" s="1"/>
      <c r="N37" s="1"/>
      <c r="O37" s="1"/>
      <c r="P37" s="1"/>
      <c r="Q37" s="1"/>
      <c r="R37" s="1"/>
      <c r="S37" s="1">
        <v>31</v>
      </c>
      <c r="T37" s="1" t="str">
        <f t="shared" si="0"/>
        <v>31LV3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2:44" ht="26" hidden="1" customHeight="1" x14ac:dyDescent="0.2">
      <c r="B38" s="1"/>
      <c r="C38" s="17">
        <v>63</v>
      </c>
      <c r="D38" s="18" t="str">
        <f>IFERROR(VLOOKUP(C38&amp;#REF!&amp;#REF!,$T$7:$U$342,2,FALSE),"")</f>
        <v/>
      </c>
      <c r="E38" s="19" t="s">
        <v>10</v>
      </c>
      <c r="F38" s="20"/>
      <c r="G38" s="20"/>
      <c r="H38" s="19" t="s">
        <v>10</v>
      </c>
      <c r="I38" s="18" t="str">
        <f>IFERROR(VLOOKUP(J38&amp;#REF!&amp;#REF!,$T$7:$U$342,2,FALSE),"")</f>
        <v/>
      </c>
      <c r="J38" s="17">
        <v>64</v>
      </c>
      <c r="K38" s="1"/>
      <c r="L38" s="1"/>
      <c r="M38" s="1"/>
      <c r="N38" s="1"/>
      <c r="O38" s="1"/>
      <c r="P38" s="1"/>
      <c r="Q38" s="1"/>
      <c r="R38" s="1"/>
      <c r="S38" s="1">
        <v>32</v>
      </c>
      <c r="T38" s="1" t="str">
        <f t="shared" si="0"/>
        <v>32LV3</v>
      </c>
      <c r="U38" s="1" t="s">
        <v>11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26" hidden="1" customHeight="1" x14ac:dyDescent="0.2">
      <c r="B39" s="1"/>
      <c r="C39" s="17">
        <v>65</v>
      </c>
      <c r="D39" s="18" t="str">
        <f>IFERROR(VLOOKUP(C39&amp;#REF!&amp;#REF!,$T$7:$U$342,2,FALSE),"")</f>
        <v/>
      </c>
      <c r="E39" s="19" t="s">
        <v>10</v>
      </c>
      <c r="F39" s="20"/>
      <c r="G39" s="20"/>
      <c r="H39" s="19" t="s">
        <v>10</v>
      </c>
      <c r="I39" s="18" t="str">
        <f>IFERROR(VLOOKUP(J39&amp;#REF!&amp;#REF!,$T$7:$U$342,2,FALSE),"")</f>
        <v/>
      </c>
      <c r="J39" s="17">
        <v>66</v>
      </c>
      <c r="K39" s="1"/>
      <c r="L39" s="1"/>
      <c r="M39" s="1"/>
      <c r="N39" s="1"/>
      <c r="O39" s="1"/>
      <c r="P39" s="1"/>
      <c r="Q39" s="1"/>
      <c r="R39" s="1"/>
      <c r="S39" s="1">
        <v>33</v>
      </c>
      <c r="T39" s="1" t="str">
        <f t="shared" si="0"/>
        <v>33LV3</v>
      </c>
      <c r="U39" s="1" t="s">
        <v>15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2:44" ht="26" hidden="1" customHeight="1" x14ac:dyDescent="0.2">
      <c r="B40" s="1"/>
      <c r="C40" s="17">
        <v>67</v>
      </c>
      <c r="D40" s="18" t="str">
        <f>IFERROR(VLOOKUP(C40&amp;#REF!&amp;#REF!,$T$7:$U$342,2,FALSE),"")</f>
        <v/>
      </c>
      <c r="E40" s="19" t="s">
        <v>10</v>
      </c>
      <c r="F40" s="20"/>
      <c r="G40" s="20"/>
      <c r="H40" s="19" t="s">
        <v>10</v>
      </c>
      <c r="I40" s="18" t="str">
        <f>IFERROR(VLOOKUP(J40&amp;#REF!&amp;#REF!,$T$7:$U$342,2,FALSE),"")</f>
        <v/>
      </c>
      <c r="J40" s="17">
        <v>68</v>
      </c>
      <c r="K40" s="1"/>
      <c r="L40" s="1"/>
      <c r="M40" s="1"/>
      <c r="N40" s="1"/>
      <c r="O40" s="1"/>
      <c r="P40" s="1"/>
      <c r="Q40" s="1"/>
      <c r="R40" s="1"/>
      <c r="S40" s="1">
        <v>34</v>
      </c>
      <c r="T40" s="1" t="str">
        <f t="shared" si="0"/>
        <v>34LV3</v>
      </c>
      <c r="U40" s="1" t="s">
        <v>15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2:44" ht="26" hidden="1" customHeight="1" x14ac:dyDescent="0.2">
      <c r="B41" s="1"/>
      <c r="C41" s="17">
        <v>69</v>
      </c>
      <c r="D41" s="18" t="str">
        <f>IFERROR(VLOOKUP(C41&amp;#REF!&amp;#REF!,$T$7:$U$342,2,FALSE),"")</f>
        <v/>
      </c>
      <c r="E41" s="19" t="s">
        <v>10</v>
      </c>
      <c r="F41" s="20"/>
      <c r="G41" s="20"/>
      <c r="H41" s="19" t="s">
        <v>10</v>
      </c>
      <c r="I41" s="18" t="str">
        <f>IFERROR(VLOOKUP(J41&amp;#REF!&amp;#REF!,$T$7:$U$342,2,FALSE),"")</f>
        <v/>
      </c>
      <c r="J41" s="17">
        <v>70</v>
      </c>
      <c r="K41" s="1"/>
      <c r="L41" s="1"/>
      <c r="M41" s="1"/>
      <c r="N41" s="1"/>
      <c r="O41" s="1"/>
      <c r="P41" s="1"/>
      <c r="Q41" s="1"/>
      <c r="R41" s="1"/>
      <c r="S41" s="1">
        <v>35</v>
      </c>
      <c r="T41" s="1" t="str">
        <f t="shared" si="0"/>
        <v>35LV3</v>
      </c>
      <c r="U41" s="1" t="s">
        <v>18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2:44" ht="26" hidden="1" customHeight="1" x14ac:dyDescent="0.2">
      <c r="B42" s="1"/>
      <c r="C42" s="17">
        <v>71</v>
      </c>
      <c r="D42" s="18" t="str">
        <f>IFERROR(VLOOKUP(C42&amp;#REF!&amp;#REF!,$T$7:$U$342,2,FALSE),"")</f>
        <v/>
      </c>
      <c r="E42" s="19" t="s">
        <v>10</v>
      </c>
      <c r="F42" s="20"/>
      <c r="G42" s="20"/>
      <c r="H42" s="19" t="s">
        <v>10</v>
      </c>
      <c r="I42" s="18" t="str">
        <f>IFERROR(VLOOKUP(J42&amp;#REF!&amp;#REF!,$T$7:$U$342,2,FALSE),"")</f>
        <v/>
      </c>
      <c r="J42" s="17">
        <v>72</v>
      </c>
      <c r="K42" s="1"/>
      <c r="L42" s="1"/>
      <c r="M42" s="1"/>
      <c r="N42" s="1"/>
      <c r="O42" s="1"/>
      <c r="P42" s="1"/>
      <c r="Q42" s="1"/>
      <c r="R42" s="1"/>
      <c r="S42" s="1">
        <v>36</v>
      </c>
      <c r="T42" s="1" t="str">
        <f t="shared" si="0"/>
        <v>36LV3</v>
      </c>
      <c r="U42" s="1" t="s">
        <v>18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2:44" ht="26" hidden="1" customHeight="1" x14ac:dyDescent="0.2">
      <c r="B43" s="1"/>
      <c r="C43" s="17">
        <v>73</v>
      </c>
      <c r="D43" s="18" t="str">
        <f>IFERROR(VLOOKUP(C43&amp;#REF!&amp;#REF!,$T$7:$U$342,2,FALSE),"")</f>
        <v/>
      </c>
      <c r="E43" s="19" t="s">
        <v>10</v>
      </c>
      <c r="F43" s="20"/>
      <c r="G43" s="20"/>
      <c r="H43" s="19" t="s">
        <v>10</v>
      </c>
      <c r="I43" s="18" t="str">
        <f>IFERROR(VLOOKUP(J43&amp;#REF!&amp;#REF!,$T$7:$U$342,2,FALSE),"")</f>
        <v/>
      </c>
      <c r="J43" s="17">
        <v>74</v>
      </c>
      <c r="K43" s="1"/>
      <c r="L43" s="1"/>
      <c r="M43" s="1"/>
      <c r="N43" s="1"/>
      <c r="O43" s="1"/>
      <c r="P43" s="1"/>
      <c r="Q43" s="1"/>
      <c r="R43" s="1"/>
      <c r="S43" s="1">
        <v>37</v>
      </c>
      <c r="T43" s="1" t="str">
        <f t="shared" si="0"/>
        <v>37LV3</v>
      </c>
      <c r="U43" s="1" t="s">
        <v>11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2:44" ht="26" hidden="1" customHeight="1" x14ac:dyDescent="0.2">
      <c r="B44" s="1"/>
      <c r="C44" s="17">
        <v>75</v>
      </c>
      <c r="D44" s="18" t="str">
        <f>IFERROR(VLOOKUP(C44&amp;#REF!&amp;#REF!,$T$7:$U$342,2,FALSE),"")</f>
        <v/>
      </c>
      <c r="E44" s="19" t="s">
        <v>10</v>
      </c>
      <c r="F44" s="20"/>
      <c r="G44" s="20"/>
      <c r="H44" s="19" t="s">
        <v>10</v>
      </c>
      <c r="I44" s="18" t="str">
        <f>IFERROR(VLOOKUP(J44&amp;#REF!&amp;#REF!,$T$7:$U$342,2,FALSE),"")</f>
        <v/>
      </c>
      <c r="J44" s="17">
        <v>76</v>
      </c>
      <c r="K44" s="1"/>
      <c r="L44" s="1"/>
      <c r="M44" s="1"/>
      <c r="N44" s="1"/>
      <c r="O44" s="1"/>
      <c r="P44" s="1"/>
      <c r="Q44" s="1"/>
      <c r="R44" s="1"/>
      <c r="S44" s="1">
        <v>38</v>
      </c>
      <c r="T44" s="1" t="str">
        <f t="shared" si="0"/>
        <v>38LV3</v>
      </c>
      <c r="U44" s="1" t="s">
        <v>11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2:44" ht="26" hidden="1" customHeight="1" x14ac:dyDescent="0.2">
      <c r="B45" s="1"/>
      <c r="C45" s="17">
        <v>77</v>
      </c>
      <c r="D45" s="18" t="str">
        <f>IFERROR(VLOOKUP(C45&amp;#REF!&amp;#REF!,$T$7:$U$342,2,FALSE),"")</f>
        <v/>
      </c>
      <c r="E45" s="19" t="s">
        <v>10</v>
      </c>
      <c r="F45" s="20"/>
      <c r="G45" s="20"/>
      <c r="H45" s="19" t="s">
        <v>10</v>
      </c>
      <c r="I45" s="18" t="str">
        <f>IFERROR(VLOOKUP(J45&amp;#REF!&amp;#REF!,$T$7:$U$342,2,FALSE),"")</f>
        <v/>
      </c>
      <c r="J45" s="17">
        <v>78</v>
      </c>
      <c r="K45" s="1"/>
      <c r="L45" s="1"/>
      <c r="M45" s="1"/>
      <c r="N45" s="1"/>
      <c r="O45" s="1"/>
      <c r="P45" s="1"/>
      <c r="Q45" s="1"/>
      <c r="R45" s="1"/>
      <c r="S45" s="1">
        <v>39</v>
      </c>
      <c r="T45" s="1" t="str">
        <f t="shared" si="0"/>
        <v>39LV3</v>
      </c>
      <c r="U45" s="1" t="s">
        <v>15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2:44" ht="26" hidden="1" customHeight="1" x14ac:dyDescent="0.2">
      <c r="B46" s="1"/>
      <c r="C46" s="17">
        <v>79</v>
      </c>
      <c r="D46" s="18" t="str">
        <f>IFERROR(VLOOKUP(C46&amp;#REF!&amp;#REF!,$T$7:$U$342,2,FALSE),"")</f>
        <v/>
      </c>
      <c r="E46" s="19" t="s">
        <v>10</v>
      </c>
      <c r="F46" s="20"/>
      <c r="G46" s="20"/>
      <c r="H46" s="19" t="s">
        <v>10</v>
      </c>
      <c r="I46" s="18" t="str">
        <f>IFERROR(VLOOKUP(J46&amp;#REF!&amp;#REF!,$T$7:$U$342,2,FALSE),"")</f>
        <v/>
      </c>
      <c r="J46" s="17">
        <v>80</v>
      </c>
      <c r="K46" s="1"/>
      <c r="L46" s="1"/>
      <c r="M46" s="1"/>
      <c r="N46" s="1"/>
      <c r="O46" s="1"/>
      <c r="P46" s="1"/>
      <c r="Q46" s="1"/>
      <c r="R46" s="1"/>
      <c r="S46" s="1">
        <v>40</v>
      </c>
      <c r="T46" s="1" t="str">
        <f t="shared" si="0"/>
        <v>40LV3</v>
      </c>
      <c r="U46" s="1" t="s">
        <v>15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2:44" ht="26" hidden="1" customHeight="1" x14ac:dyDescent="0.2">
      <c r="B47" s="1"/>
      <c r="C47" s="17">
        <v>81</v>
      </c>
      <c r="D47" s="18" t="str">
        <f>IFERROR(VLOOKUP(C47&amp;#REF!&amp;#REF!,$T$7:$U$342,2,FALSE),"")</f>
        <v/>
      </c>
      <c r="E47" s="19" t="s">
        <v>10</v>
      </c>
      <c r="F47" s="20"/>
      <c r="G47" s="20"/>
      <c r="H47" s="19" t="s">
        <v>10</v>
      </c>
      <c r="I47" s="18" t="str">
        <f>IFERROR(VLOOKUP(J47&amp;#REF!&amp;#REF!,$T$7:$U$342,2,FALSE),"")</f>
        <v/>
      </c>
      <c r="J47" s="17">
        <v>82</v>
      </c>
      <c r="K47" s="1"/>
      <c r="L47" s="1"/>
      <c r="M47" s="1"/>
      <c r="N47" s="1"/>
      <c r="O47" s="1"/>
      <c r="P47" s="1"/>
      <c r="Q47" s="1"/>
      <c r="R47" s="1"/>
      <c r="S47" s="1">
        <v>41</v>
      </c>
      <c r="T47" s="1" t="str">
        <f t="shared" si="0"/>
        <v>41LV3</v>
      </c>
      <c r="U47" s="1" t="s">
        <v>18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2:44" ht="26" hidden="1" customHeight="1" x14ac:dyDescent="0.2">
      <c r="B48" s="1"/>
      <c r="C48" s="17">
        <v>83</v>
      </c>
      <c r="D48" s="18" t="str">
        <f>IFERROR(VLOOKUP(C48&amp;#REF!&amp;#REF!,$T$7:$U$342,2,FALSE),"")</f>
        <v/>
      </c>
      <c r="E48" s="19" t="s">
        <v>10</v>
      </c>
      <c r="F48" s="20"/>
      <c r="G48" s="20"/>
      <c r="H48" s="19" t="s">
        <v>10</v>
      </c>
      <c r="I48" s="18" t="str">
        <f>IFERROR(VLOOKUP(J48&amp;#REF!&amp;#REF!,$T$7:$U$342,2,FALSE),"")</f>
        <v/>
      </c>
      <c r="J48" s="17">
        <v>84</v>
      </c>
      <c r="K48" s="1"/>
      <c r="L48" s="1"/>
      <c r="M48" s="1"/>
      <c r="N48" s="1"/>
      <c r="O48" s="1"/>
      <c r="P48" s="1"/>
      <c r="Q48" s="1"/>
      <c r="R48" s="1"/>
      <c r="S48" s="1">
        <v>42</v>
      </c>
      <c r="T48" s="1" t="str">
        <f t="shared" si="0"/>
        <v>42LV3</v>
      </c>
      <c r="U48" s="1" t="s">
        <v>18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2:44" ht="18" x14ac:dyDescent="0.2">
      <c r="B49" s="1"/>
      <c r="C49" s="30" t="s">
        <v>19</v>
      </c>
      <c r="D49" s="31"/>
      <c r="E49" s="31"/>
      <c r="F49" s="31"/>
      <c r="G49" s="31"/>
      <c r="H49" s="31"/>
      <c r="I49" s="31"/>
      <c r="J49" s="32"/>
      <c r="K49" s="1"/>
      <c r="L49" s="1"/>
      <c r="M49" s="1"/>
      <c r="N49" s="1"/>
      <c r="O49" s="1"/>
      <c r="P49" s="1"/>
      <c r="Q49" s="1"/>
      <c r="R49" s="1"/>
      <c r="S49" s="1">
        <v>43</v>
      </c>
      <c r="T49" s="1" t="str">
        <f t="shared" si="0"/>
        <v>43LV3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2:44" x14ac:dyDescent="0.2">
      <c r="B50" s="1"/>
      <c r="C50" s="33" t="s">
        <v>20</v>
      </c>
      <c r="D50" s="34"/>
      <c r="E50" s="34"/>
      <c r="F50" s="34"/>
      <c r="G50" s="34"/>
      <c r="H50" s="34"/>
      <c r="I50" s="34"/>
      <c r="J50" s="35"/>
      <c r="K50" s="1"/>
      <c r="L50" s="1"/>
      <c r="M50" s="1"/>
      <c r="N50" s="1"/>
      <c r="O50" s="1"/>
      <c r="P50" s="1"/>
      <c r="Q50" s="1"/>
      <c r="R50" s="1"/>
      <c r="S50" s="1">
        <v>44</v>
      </c>
      <c r="T50" s="1" t="str">
        <f t="shared" si="0"/>
        <v>44LV3</v>
      </c>
      <c r="U50" s="1" t="s">
        <v>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2:44" x14ac:dyDescent="0.2">
      <c r="B51" s="1"/>
      <c r="C51" s="33" t="s">
        <v>21</v>
      </c>
      <c r="D51" s="34"/>
      <c r="E51" s="34"/>
      <c r="F51" s="34"/>
      <c r="G51" s="34"/>
      <c r="H51" s="34"/>
      <c r="I51" s="34"/>
      <c r="J51" s="35"/>
      <c r="K51" s="1"/>
      <c r="L51" s="1"/>
      <c r="M51" s="1"/>
      <c r="N51" s="1"/>
      <c r="O51" s="1"/>
      <c r="P51" s="1"/>
      <c r="Q51" s="1"/>
      <c r="R51" s="1"/>
      <c r="S51" s="1">
        <v>45</v>
      </c>
      <c r="T51" s="1" t="str">
        <f t="shared" si="0"/>
        <v>45LV3</v>
      </c>
      <c r="U51" s="1" t="s">
        <v>15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2:44" x14ac:dyDescent="0.2">
      <c r="B52" s="1"/>
      <c r="C52" s="36" t="s">
        <v>22</v>
      </c>
      <c r="D52" s="37"/>
      <c r="E52" s="37"/>
      <c r="F52" s="37"/>
      <c r="G52" s="37"/>
      <c r="H52" s="37"/>
      <c r="I52" s="37"/>
      <c r="J52" s="38"/>
      <c r="K52" s="1"/>
      <c r="L52" s="1"/>
      <c r="M52" s="1"/>
      <c r="N52" s="1"/>
      <c r="O52" s="1"/>
      <c r="P52" s="1"/>
      <c r="Q52" s="1"/>
      <c r="R52" s="1"/>
      <c r="S52" s="1">
        <v>46</v>
      </c>
      <c r="T52" s="1" t="str">
        <f t="shared" si="0"/>
        <v>46LV3</v>
      </c>
      <c r="U52" s="1" t="s">
        <v>15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2:44" hidden="1" x14ac:dyDescent="0.2">
      <c r="B53" s="1"/>
      <c r="C53" s="1"/>
      <c r="D53" s="1"/>
      <c r="E53" s="2"/>
      <c r="F53" s="23">
        <f>[1]Schedule!C5</f>
        <v>45376</v>
      </c>
      <c r="G53" s="23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47</v>
      </c>
      <c r="T53" s="1" t="str">
        <f t="shared" si="0"/>
        <v>47LV3</v>
      </c>
      <c r="U53" s="1" t="s">
        <v>18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2:44" hidden="1" x14ac:dyDescent="0.2">
      <c r="B54" s="1"/>
      <c r="C54" s="1"/>
      <c r="D54" s="1"/>
      <c r="E54" s="2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48</v>
      </c>
      <c r="T54" s="1" t="str">
        <f t="shared" si="0"/>
        <v>48LV3</v>
      </c>
      <c r="U54" s="1" t="s">
        <v>18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2:44" hidden="1" x14ac:dyDescent="0.2">
      <c r="B55" s="1"/>
      <c r="C55" s="1"/>
      <c r="D55" s="1"/>
      <c r="E55" s="2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49</v>
      </c>
      <c r="T55" s="1" t="str">
        <f t="shared" si="0"/>
        <v>49LV3</v>
      </c>
      <c r="U55" s="1" t="s">
        <v>11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2:44" hidden="1" x14ac:dyDescent="0.2">
      <c r="B56" s="1"/>
      <c r="C56" s="1"/>
      <c r="D56" s="1"/>
      <c r="E56" s="2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50</v>
      </c>
      <c r="T56" s="1" t="str">
        <f t="shared" si="0"/>
        <v>50LV3</v>
      </c>
      <c r="U56" s="1" t="s">
        <v>11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2:44" hidden="1" x14ac:dyDescent="0.2">
      <c r="B57" s="1"/>
      <c r="C57" s="1"/>
      <c r="D57" s="1"/>
      <c r="E57" s="2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51</v>
      </c>
      <c r="T57" s="1" t="str">
        <f t="shared" si="0"/>
        <v>51LV3</v>
      </c>
      <c r="U57" s="1" t="s">
        <v>15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2:44" hidden="1" x14ac:dyDescent="0.2">
      <c r="B58" s="1"/>
      <c r="C58" s="1"/>
      <c r="D58" s="1"/>
      <c r="E58" s="2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52</v>
      </c>
      <c r="T58" s="1" t="str">
        <f t="shared" si="0"/>
        <v>52LV3</v>
      </c>
      <c r="U58" s="1" t="s">
        <v>15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2:44" hidden="1" x14ac:dyDescent="0.2">
      <c r="B59" s="1"/>
      <c r="C59" s="1"/>
      <c r="D59" s="1"/>
      <c r="E59" s="2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53</v>
      </c>
      <c r="T59" s="1" t="str">
        <f t="shared" si="0"/>
        <v>53LV3</v>
      </c>
      <c r="U59" s="1" t="s">
        <v>18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2:44" hidden="1" x14ac:dyDescent="0.2">
      <c r="B60" s="1"/>
      <c r="C60" s="1"/>
      <c r="D60" s="1"/>
      <c r="E60" s="2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54</v>
      </c>
      <c r="T60" s="1" t="str">
        <f t="shared" si="0"/>
        <v>54LV3</v>
      </c>
      <c r="U60" s="1" t="s">
        <v>18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2:44" hidden="1" x14ac:dyDescent="0.2">
      <c r="B61" s="1"/>
      <c r="C61" s="1"/>
      <c r="D61" s="1"/>
      <c r="E61" s="2"/>
      <c r="F61" s="1"/>
      <c r="G61" s="1"/>
      <c r="H61" s="2"/>
      <c r="I61" s="1"/>
      <c r="J61" s="1"/>
      <c r="M61" s="1"/>
      <c r="N61" s="1"/>
      <c r="O61" s="1"/>
      <c r="P61" s="1"/>
      <c r="Q61" s="1"/>
      <c r="R61" s="1"/>
      <c r="S61" s="1">
        <v>55</v>
      </c>
      <c r="T61" s="1" t="str">
        <f t="shared" si="0"/>
        <v>55LV3</v>
      </c>
      <c r="U61" s="1" t="s">
        <v>11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2:44" hidden="1" x14ac:dyDescent="0.2">
      <c r="B62" s="1"/>
      <c r="C62" s="1"/>
      <c r="D62" s="1"/>
      <c r="E62" s="2"/>
      <c r="F62" s="1"/>
      <c r="G62" s="1"/>
      <c r="H62" s="2"/>
      <c r="I62" s="1"/>
      <c r="J62" s="1"/>
      <c r="M62" s="1"/>
      <c r="P62" s="1"/>
      <c r="Q62" s="1"/>
      <c r="R62" s="1"/>
      <c r="S62" s="1">
        <v>56</v>
      </c>
      <c r="T62" s="1" t="str">
        <f t="shared" si="0"/>
        <v>56LV3</v>
      </c>
      <c r="U62" s="1" t="s">
        <v>11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2:44" hidden="1" x14ac:dyDescent="0.2">
      <c r="S63">
        <v>57</v>
      </c>
      <c r="T63" t="str">
        <f t="shared" si="0"/>
        <v>57LV3</v>
      </c>
      <c r="U63" t="s">
        <v>15</v>
      </c>
    </row>
    <row r="64" spans="2:44" hidden="1" x14ac:dyDescent="0.2">
      <c r="S64">
        <v>58</v>
      </c>
      <c r="T64" t="str">
        <f t="shared" si="0"/>
        <v>58LV3</v>
      </c>
      <c r="U64" t="s">
        <v>15</v>
      </c>
    </row>
    <row r="65" spans="19:21" hidden="1" x14ac:dyDescent="0.2">
      <c r="S65">
        <v>59</v>
      </c>
      <c r="T65" t="str">
        <f t="shared" si="0"/>
        <v>59LV3</v>
      </c>
      <c r="U65" t="s">
        <v>18</v>
      </c>
    </row>
    <row r="66" spans="19:21" hidden="1" x14ac:dyDescent="0.2">
      <c r="S66">
        <v>60</v>
      </c>
      <c r="T66" t="str">
        <f t="shared" si="0"/>
        <v>60LV3</v>
      </c>
      <c r="U66" t="s">
        <v>18</v>
      </c>
    </row>
    <row r="67" spans="19:21" hidden="1" x14ac:dyDescent="0.2">
      <c r="S67">
        <v>61</v>
      </c>
      <c r="T67" t="str">
        <f t="shared" si="0"/>
        <v>61LV3</v>
      </c>
      <c r="U67" t="s">
        <v>11</v>
      </c>
    </row>
    <row r="68" spans="19:21" hidden="1" x14ac:dyDescent="0.2">
      <c r="S68">
        <v>62</v>
      </c>
      <c r="T68" t="str">
        <f t="shared" si="0"/>
        <v>62LV3</v>
      </c>
      <c r="U68" t="s">
        <v>11</v>
      </c>
    </row>
    <row r="69" spans="19:21" hidden="1" x14ac:dyDescent="0.2">
      <c r="S69">
        <v>63</v>
      </c>
      <c r="T69" t="str">
        <f t="shared" si="0"/>
        <v>63LV3</v>
      </c>
      <c r="U69" t="s">
        <v>15</v>
      </c>
    </row>
    <row r="70" spans="19:21" hidden="1" x14ac:dyDescent="0.2">
      <c r="S70">
        <v>64</v>
      </c>
      <c r="T70" t="str">
        <f t="shared" si="0"/>
        <v>64LV3</v>
      </c>
      <c r="U70" t="s">
        <v>15</v>
      </c>
    </row>
    <row r="71" spans="19:21" hidden="1" x14ac:dyDescent="0.2">
      <c r="S71">
        <v>65</v>
      </c>
      <c r="T71" t="str">
        <f t="shared" si="0"/>
        <v>65LV3</v>
      </c>
      <c r="U71" t="s">
        <v>18</v>
      </c>
    </row>
    <row r="72" spans="19:21" hidden="1" x14ac:dyDescent="0.2">
      <c r="S72">
        <v>66</v>
      </c>
      <c r="T72" t="str">
        <f t="shared" ref="T72:T90" si="1">S72&amp;$R$8&amp;$R$11</f>
        <v>66LV3</v>
      </c>
      <c r="U72" t="s">
        <v>18</v>
      </c>
    </row>
    <row r="73" spans="19:21" hidden="1" x14ac:dyDescent="0.2">
      <c r="S73">
        <v>67</v>
      </c>
      <c r="T73" t="str">
        <f t="shared" si="1"/>
        <v>67LV3</v>
      </c>
      <c r="U73" t="s">
        <v>11</v>
      </c>
    </row>
    <row r="74" spans="19:21" hidden="1" x14ac:dyDescent="0.2">
      <c r="S74">
        <v>68</v>
      </c>
      <c r="T74" t="str">
        <f t="shared" si="1"/>
        <v>68LV3</v>
      </c>
      <c r="U74" t="s">
        <v>11</v>
      </c>
    </row>
    <row r="75" spans="19:21" hidden="1" x14ac:dyDescent="0.2">
      <c r="S75">
        <v>69</v>
      </c>
      <c r="T75" t="str">
        <f t="shared" si="1"/>
        <v>69LV3</v>
      </c>
      <c r="U75" t="s">
        <v>15</v>
      </c>
    </row>
    <row r="76" spans="19:21" hidden="1" x14ac:dyDescent="0.2">
      <c r="S76">
        <v>70</v>
      </c>
      <c r="T76" t="str">
        <f t="shared" si="1"/>
        <v>70LV3</v>
      </c>
      <c r="U76" t="s">
        <v>15</v>
      </c>
    </row>
    <row r="77" spans="19:21" hidden="1" x14ac:dyDescent="0.2">
      <c r="S77">
        <v>71</v>
      </c>
      <c r="T77" t="str">
        <f t="shared" si="1"/>
        <v>71LV3</v>
      </c>
      <c r="U77" t="s">
        <v>18</v>
      </c>
    </row>
    <row r="78" spans="19:21" hidden="1" x14ac:dyDescent="0.2">
      <c r="S78">
        <v>72</v>
      </c>
      <c r="T78" t="str">
        <f t="shared" si="1"/>
        <v>72LV3</v>
      </c>
      <c r="U78" t="s">
        <v>18</v>
      </c>
    </row>
    <row r="79" spans="19:21" hidden="1" x14ac:dyDescent="0.2">
      <c r="S79">
        <v>73</v>
      </c>
      <c r="T79" t="str">
        <f t="shared" si="1"/>
        <v>73LV3</v>
      </c>
      <c r="U79" t="s">
        <v>11</v>
      </c>
    </row>
    <row r="80" spans="19:21" hidden="1" x14ac:dyDescent="0.2">
      <c r="S80">
        <v>74</v>
      </c>
      <c r="T80" t="str">
        <f t="shared" si="1"/>
        <v>74LV3</v>
      </c>
      <c r="U80" t="s">
        <v>11</v>
      </c>
    </row>
    <row r="81" spans="19:21" hidden="1" x14ac:dyDescent="0.2">
      <c r="S81">
        <v>75</v>
      </c>
      <c r="T81" t="str">
        <f t="shared" si="1"/>
        <v>75LV3</v>
      </c>
      <c r="U81" t="s">
        <v>15</v>
      </c>
    </row>
    <row r="82" spans="19:21" hidden="1" x14ac:dyDescent="0.2">
      <c r="S82">
        <v>76</v>
      </c>
      <c r="T82" t="str">
        <f t="shared" si="1"/>
        <v>76LV3</v>
      </c>
      <c r="U82" t="s">
        <v>15</v>
      </c>
    </row>
    <row r="83" spans="19:21" hidden="1" x14ac:dyDescent="0.2">
      <c r="S83">
        <v>77</v>
      </c>
      <c r="T83" t="str">
        <f t="shared" si="1"/>
        <v>77LV3</v>
      </c>
      <c r="U83" t="s">
        <v>18</v>
      </c>
    </row>
    <row r="84" spans="19:21" hidden="1" x14ac:dyDescent="0.2">
      <c r="S84">
        <v>78</v>
      </c>
      <c r="T84" t="str">
        <f t="shared" si="1"/>
        <v>78LV3</v>
      </c>
      <c r="U84" t="s">
        <v>18</v>
      </c>
    </row>
    <row r="85" spans="19:21" hidden="1" x14ac:dyDescent="0.2">
      <c r="S85">
        <v>79</v>
      </c>
      <c r="T85" t="str">
        <f t="shared" si="1"/>
        <v>79LV3</v>
      </c>
      <c r="U85" t="s">
        <v>11</v>
      </c>
    </row>
    <row r="86" spans="19:21" hidden="1" x14ac:dyDescent="0.2">
      <c r="S86">
        <v>80</v>
      </c>
      <c r="T86" t="str">
        <f t="shared" si="1"/>
        <v>80LV3</v>
      </c>
      <c r="U86" t="s">
        <v>11</v>
      </c>
    </row>
    <row r="87" spans="19:21" hidden="1" x14ac:dyDescent="0.2">
      <c r="S87">
        <v>81</v>
      </c>
      <c r="T87" t="str">
        <f t="shared" si="1"/>
        <v>81LV3</v>
      </c>
      <c r="U87" t="s">
        <v>15</v>
      </c>
    </row>
    <row r="88" spans="19:21" hidden="1" x14ac:dyDescent="0.2">
      <c r="S88">
        <v>82</v>
      </c>
      <c r="T88" t="str">
        <f t="shared" si="1"/>
        <v>82LV3</v>
      </c>
      <c r="U88" t="s">
        <v>15</v>
      </c>
    </row>
    <row r="89" spans="19:21" hidden="1" x14ac:dyDescent="0.2">
      <c r="S89">
        <v>83</v>
      </c>
      <c r="T89" t="str">
        <f t="shared" si="1"/>
        <v>83LV3</v>
      </c>
      <c r="U89" t="s">
        <v>18</v>
      </c>
    </row>
    <row r="90" spans="19:21" hidden="1" x14ac:dyDescent="0.2">
      <c r="S90">
        <v>84</v>
      </c>
      <c r="T90" t="str">
        <f t="shared" si="1"/>
        <v>84LV3</v>
      </c>
      <c r="U90" t="s">
        <v>18</v>
      </c>
    </row>
    <row r="91" spans="19:21" hidden="1" x14ac:dyDescent="0.2">
      <c r="T91" t="str">
        <f>P7&amp;$R$9&amp;$R$11</f>
        <v>1HV3</v>
      </c>
      <c r="U91" t="s">
        <v>23</v>
      </c>
    </row>
    <row r="92" spans="19:21" hidden="1" x14ac:dyDescent="0.2">
      <c r="T92" t="str">
        <f t="shared" ref="T92:T155" si="2">S8&amp;$R$9&amp;$R$11</f>
        <v>2HV3</v>
      </c>
      <c r="U92" t="s">
        <v>23</v>
      </c>
    </row>
    <row r="93" spans="19:21" hidden="1" x14ac:dyDescent="0.2">
      <c r="T93" t="str">
        <f t="shared" si="2"/>
        <v>3HV3</v>
      </c>
      <c r="U93" t="s">
        <v>24</v>
      </c>
    </row>
    <row r="94" spans="19:21" hidden="1" x14ac:dyDescent="0.2">
      <c r="T94" t="str">
        <f t="shared" si="2"/>
        <v>4HV3</v>
      </c>
      <c r="U94" t="s">
        <v>24</v>
      </c>
    </row>
    <row r="95" spans="19:21" hidden="1" x14ac:dyDescent="0.2">
      <c r="T95" t="str">
        <f t="shared" si="2"/>
        <v>5HV3</v>
      </c>
      <c r="U95" t="s">
        <v>25</v>
      </c>
    </row>
    <row r="96" spans="19:21" hidden="1" x14ac:dyDescent="0.2">
      <c r="T96" t="str">
        <f t="shared" si="2"/>
        <v>6HV3</v>
      </c>
      <c r="U96" t="s">
        <v>25</v>
      </c>
    </row>
    <row r="97" spans="20:21" hidden="1" x14ac:dyDescent="0.2">
      <c r="T97" t="str">
        <f t="shared" si="2"/>
        <v>7HV3</v>
      </c>
      <c r="U97" t="s">
        <v>23</v>
      </c>
    </row>
    <row r="98" spans="20:21" hidden="1" x14ac:dyDescent="0.2">
      <c r="T98" t="str">
        <f t="shared" si="2"/>
        <v>8HV3</v>
      </c>
      <c r="U98" t="s">
        <v>23</v>
      </c>
    </row>
    <row r="99" spans="20:21" hidden="1" x14ac:dyDescent="0.2">
      <c r="T99" t="str">
        <f t="shared" si="2"/>
        <v>9HV3</v>
      </c>
      <c r="U99" t="s">
        <v>24</v>
      </c>
    </row>
    <row r="100" spans="20:21" hidden="1" x14ac:dyDescent="0.2">
      <c r="T100" t="str">
        <f t="shared" si="2"/>
        <v>10HV3</v>
      </c>
      <c r="U100" t="s">
        <v>24</v>
      </c>
    </row>
    <row r="101" spans="20:21" hidden="1" x14ac:dyDescent="0.2">
      <c r="T101" t="str">
        <f t="shared" si="2"/>
        <v>11HV3</v>
      </c>
      <c r="U101" t="s">
        <v>25</v>
      </c>
    </row>
    <row r="102" spans="20:21" hidden="1" x14ac:dyDescent="0.2">
      <c r="T102" t="str">
        <f t="shared" si="2"/>
        <v>12HV3</v>
      </c>
      <c r="U102" t="s">
        <v>25</v>
      </c>
    </row>
    <row r="103" spans="20:21" hidden="1" x14ac:dyDescent="0.2">
      <c r="T103" t="str">
        <f t="shared" si="2"/>
        <v>13HV3</v>
      </c>
      <c r="U103" t="s">
        <v>23</v>
      </c>
    </row>
    <row r="104" spans="20:21" hidden="1" x14ac:dyDescent="0.2">
      <c r="T104" t="str">
        <f t="shared" si="2"/>
        <v>14HV3</v>
      </c>
      <c r="U104" t="s">
        <v>23</v>
      </c>
    </row>
    <row r="105" spans="20:21" hidden="1" x14ac:dyDescent="0.2">
      <c r="T105" t="str">
        <f t="shared" si="2"/>
        <v>15HV3</v>
      </c>
      <c r="U105" t="s">
        <v>24</v>
      </c>
    </row>
    <row r="106" spans="20:21" hidden="1" x14ac:dyDescent="0.2">
      <c r="T106" t="str">
        <f t="shared" si="2"/>
        <v>16HV3</v>
      </c>
      <c r="U106" t="s">
        <v>24</v>
      </c>
    </row>
    <row r="107" spans="20:21" hidden="1" x14ac:dyDescent="0.2">
      <c r="T107" t="str">
        <f t="shared" si="2"/>
        <v>17HV3</v>
      </c>
      <c r="U107" t="s">
        <v>25</v>
      </c>
    </row>
    <row r="108" spans="20:21" hidden="1" x14ac:dyDescent="0.2">
      <c r="T108" t="str">
        <f t="shared" si="2"/>
        <v>18HV3</v>
      </c>
      <c r="U108" t="s">
        <v>25</v>
      </c>
    </row>
    <row r="109" spans="20:21" hidden="1" x14ac:dyDescent="0.2">
      <c r="T109" t="str">
        <f t="shared" si="2"/>
        <v>19HV3</v>
      </c>
      <c r="U109" t="s">
        <v>23</v>
      </c>
    </row>
    <row r="110" spans="20:21" hidden="1" x14ac:dyDescent="0.2">
      <c r="T110" t="str">
        <f t="shared" si="2"/>
        <v>20HV3</v>
      </c>
      <c r="U110" t="s">
        <v>23</v>
      </c>
    </row>
    <row r="111" spans="20:21" hidden="1" x14ac:dyDescent="0.2">
      <c r="T111" t="str">
        <f t="shared" si="2"/>
        <v>21HV3</v>
      </c>
      <c r="U111" t="s">
        <v>24</v>
      </c>
    </row>
    <row r="112" spans="20:21" hidden="1" x14ac:dyDescent="0.2">
      <c r="T112" t="str">
        <f t="shared" si="2"/>
        <v>22HV3</v>
      </c>
      <c r="U112" t="s">
        <v>24</v>
      </c>
    </row>
    <row r="113" spans="20:21" hidden="1" x14ac:dyDescent="0.2">
      <c r="T113" t="str">
        <f t="shared" si="2"/>
        <v>23HV3</v>
      </c>
      <c r="U113" t="s">
        <v>25</v>
      </c>
    </row>
    <row r="114" spans="20:21" hidden="1" x14ac:dyDescent="0.2">
      <c r="T114" t="str">
        <f t="shared" si="2"/>
        <v>24HV3</v>
      </c>
      <c r="U114" t="s">
        <v>25</v>
      </c>
    </row>
    <row r="115" spans="20:21" hidden="1" x14ac:dyDescent="0.2">
      <c r="T115" t="str">
        <f t="shared" si="2"/>
        <v>25HV3</v>
      </c>
      <c r="U115" t="s">
        <v>23</v>
      </c>
    </row>
    <row r="116" spans="20:21" hidden="1" x14ac:dyDescent="0.2">
      <c r="T116" t="str">
        <f t="shared" si="2"/>
        <v>26HV3</v>
      </c>
      <c r="U116" t="s">
        <v>23</v>
      </c>
    </row>
    <row r="117" spans="20:21" hidden="1" x14ac:dyDescent="0.2">
      <c r="T117" t="str">
        <f t="shared" si="2"/>
        <v>27HV3</v>
      </c>
      <c r="U117" t="s">
        <v>24</v>
      </c>
    </row>
    <row r="118" spans="20:21" hidden="1" x14ac:dyDescent="0.2">
      <c r="T118" t="str">
        <f t="shared" si="2"/>
        <v>28HV3</v>
      </c>
      <c r="U118" t="s">
        <v>24</v>
      </c>
    </row>
    <row r="119" spans="20:21" hidden="1" x14ac:dyDescent="0.2">
      <c r="T119" t="str">
        <f t="shared" si="2"/>
        <v>29HV3</v>
      </c>
      <c r="U119" t="s">
        <v>25</v>
      </c>
    </row>
    <row r="120" spans="20:21" hidden="1" x14ac:dyDescent="0.2">
      <c r="T120" t="str">
        <f t="shared" si="2"/>
        <v>30HV3</v>
      </c>
      <c r="U120" t="s">
        <v>25</v>
      </c>
    </row>
    <row r="121" spans="20:21" hidden="1" x14ac:dyDescent="0.2">
      <c r="T121" t="str">
        <f t="shared" si="2"/>
        <v>31HV3</v>
      </c>
      <c r="U121" t="s">
        <v>23</v>
      </c>
    </row>
    <row r="122" spans="20:21" hidden="1" x14ac:dyDescent="0.2">
      <c r="T122" t="str">
        <f t="shared" si="2"/>
        <v>32HV3</v>
      </c>
      <c r="U122" t="s">
        <v>23</v>
      </c>
    </row>
    <row r="123" spans="20:21" hidden="1" x14ac:dyDescent="0.2">
      <c r="T123" t="str">
        <f t="shared" si="2"/>
        <v>33HV3</v>
      </c>
      <c r="U123" t="s">
        <v>24</v>
      </c>
    </row>
    <row r="124" spans="20:21" hidden="1" x14ac:dyDescent="0.2">
      <c r="T124" t="str">
        <f t="shared" si="2"/>
        <v>34HV3</v>
      </c>
      <c r="U124" t="s">
        <v>24</v>
      </c>
    </row>
    <row r="125" spans="20:21" hidden="1" x14ac:dyDescent="0.2">
      <c r="T125" t="str">
        <f t="shared" si="2"/>
        <v>35HV3</v>
      </c>
      <c r="U125" t="s">
        <v>25</v>
      </c>
    </row>
    <row r="126" spans="20:21" hidden="1" x14ac:dyDescent="0.2">
      <c r="T126" t="str">
        <f t="shared" si="2"/>
        <v>36HV3</v>
      </c>
      <c r="U126" t="s">
        <v>25</v>
      </c>
    </row>
    <row r="127" spans="20:21" hidden="1" x14ac:dyDescent="0.2">
      <c r="T127" t="str">
        <f t="shared" si="2"/>
        <v>37HV3</v>
      </c>
      <c r="U127" t="s">
        <v>23</v>
      </c>
    </row>
    <row r="128" spans="20:21" hidden="1" x14ac:dyDescent="0.2">
      <c r="T128" t="str">
        <f t="shared" si="2"/>
        <v>38HV3</v>
      </c>
      <c r="U128" t="s">
        <v>23</v>
      </c>
    </row>
    <row r="129" spans="20:21" hidden="1" x14ac:dyDescent="0.2">
      <c r="T129" t="str">
        <f t="shared" si="2"/>
        <v>39HV3</v>
      </c>
      <c r="U129" t="s">
        <v>24</v>
      </c>
    </row>
    <row r="130" spans="20:21" hidden="1" x14ac:dyDescent="0.2">
      <c r="T130" t="str">
        <f t="shared" si="2"/>
        <v>40HV3</v>
      </c>
      <c r="U130" t="s">
        <v>24</v>
      </c>
    </row>
    <row r="131" spans="20:21" hidden="1" x14ac:dyDescent="0.2">
      <c r="T131" t="str">
        <f t="shared" si="2"/>
        <v>41HV3</v>
      </c>
      <c r="U131" t="s">
        <v>25</v>
      </c>
    </row>
    <row r="132" spans="20:21" hidden="1" x14ac:dyDescent="0.2">
      <c r="T132" t="str">
        <f t="shared" si="2"/>
        <v>42HV3</v>
      </c>
      <c r="U132" t="s">
        <v>25</v>
      </c>
    </row>
    <row r="133" spans="20:21" hidden="1" x14ac:dyDescent="0.2">
      <c r="T133" t="str">
        <f t="shared" si="2"/>
        <v>43HV3</v>
      </c>
      <c r="U133" t="s">
        <v>23</v>
      </c>
    </row>
    <row r="134" spans="20:21" hidden="1" x14ac:dyDescent="0.2">
      <c r="T134" t="str">
        <f t="shared" si="2"/>
        <v>44HV3</v>
      </c>
      <c r="U134" t="s">
        <v>23</v>
      </c>
    </row>
    <row r="135" spans="20:21" hidden="1" x14ac:dyDescent="0.2">
      <c r="T135" t="str">
        <f t="shared" si="2"/>
        <v>45HV3</v>
      </c>
      <c r="U135" t="s">
        <v>24</v>
      </c>
    </row>
    <row r="136" spans="20:21" hidden="1" x14ac:dyDescent="0.2">
      <c r="T136" t="str">
        <f t="shared" si="2"/>
        <v>46HV3</v>
      </c>
      <c r="U136" t="s">
        <v>24</v>
      </c>
    </row>
    <row r="137" spans="20:21" hidden="1" x14ac:dyDescent="0.2">
      <c r="T137" t="str">
        <f t="shared" si="2"/>
        <v>47HV3</v>
      </c>
      <c r="U137" t="s">
        <v>25</v>
      </c>
    </row>
    <row r="138" spans="20:21" hidden="1" x14ac:dyDescent="0.2">
      <c r="T138" t="str">
        <f t="shared" si="2"/>
        <v>48HV3</v>
      </c>
      <c r="U138" t="s">
        <v>25</v>
      </c>
    </row>
    <row r="139" spans="20:21" hidden="1" x14ac:dyDescent="0.2">
      <c r="T139" t="str">
        <f t="shared" si="2"/>
        <v>49HV3</v>
      </c>
      <c r="U139" t="s">
        <v>23</v>
      </c>
    </row>
    <row r="140" spans="20:21" hidden="1" x14ac:dyDescent="0.2">
      <c r="T140" t="str">
        <f t="shared" si="2"/>
        <v>50HV3</v>
      </c>
      <c r="U140" t="s">
        <v>23</v>
      </c>
    </row>
    <row r="141" spans="20:21" hidden="1" x14ac:dyDescent="0.2">
      <c r="T141" t="str">
        <f t="shared" si="2"/>
        <v>51HV3</v>
      </c>
      <c r="U141" t="s">
        <v>24</v>
      </c>
    </row>
    <row r="142" spans="20:21" hidden="1" x14ac:dyDescent="0.2">
      <c r="T142" t="str">
        <f t="shared" si="2"/>
        <v>52HV3</v>
      </c>
      <c r="U142" t="s">
        <v>24</v>
      </c>
    </row>
    <row r="143" spans="20:21" hidden="1" x14ac:dyDescent="0.2">
      <c r="T143" t="str">
        <f t="shared" si="2"/>
        <v>53HV3</v>
      </c>
      <c r="U143" t="s">
        <v>25</v>
      </c>
    </row>
    <row r="144" spans="20:21" hidden="1" x14ac:dyDescent="0.2">
      <c r="T144" t="str">
        <f t="shared" si="2"/>
        <v>54HV3</v>
      </c>
      <c r="U144" t="s">
        <v>25</v>
      </c>
    </row>
    <row r="145" spans="20:21" hidden="1" x14ac:dyDescent="0.2">
      <c r="T145" t="str">
        <f t="shared" si="2"/>
        <v>55HV3</v>
      </c>
      <c r="U145" t="s">
        <v>23</v>
      </c>
    </row>
    <row r="146" spans="20:21" hidden="1" x14ac:dyDescent="0.2">
      <c r="T146" t="str">
        <f t="shared" si="2"/>
        <v>56HV3</v>
      </c>
      <c r="U146" t="s">
        <v>23</v>
      </c>
    </row>
    <row r="147" spans="20:21" hidden="1" x14ac:dyDescent="0.2">
      <c r="T147" t="str">
        <f t="shared" si="2"/>
        <v>57HV3</v>
      </c>
      <c r="U147" t="s">
        <v>24</v>
      </c>
    </row>
    <row r="148" spans="20:21" hidden="1" x14ac:dyDescent="0.2">
      <c r="T148" t="str">
        <f t="shared" si="2"/>
        <v>58HV3</v>
      </c>
      <c r="U148" t="s">
        <v>24</v>
      </c>
    </row>
    <row r="149" spans="20:21" hidden="1" x14ac:dyDescent="0.2">
      <c r="T149" t="str">
        <f t="shared" si="2"/>
        <v>59HV3</v>
      </c>
      <c r="U149" t="s">
        <v>25</v>
      </c>
    </row>
    <row r="150" spans="20:21" hidden="1" x14ac:dyDescent="0.2">
      <c r="T150" t="str">
        <f t="shared" si="2"/>
        <v>60HV3</v>
      </c>
      <c r="U150" t="s">
        <v>25</v>
      </c>
    </row>
    <row r="151" spans="20:21" hidden="1" x14ac:dyDescent="0.2">
      <c r="T151" t="str">
        <f t="shared" si="2"/>
        <v>61HV3</v>
      </c>
      <c r="U151" t="s">
        <v>23</v>
      </c>
    </row>
    <row r="152" spans="20:21" hidden="1" x14ac:dyDescent="0.2">
      <c r="T152" t="str">
        <f t="shared" si="2"/>
        <v>62HV3</v>
      </c>
      <c r="U152" t="s">
        <v>23</v>
      </c>
    </row>
    <row r="153" spans="20:21" hidden="1" x14ac:dyDescent="0.2">
      <c r="T153" t="str">
        <f t="shared" si="2"/>
        <v>63HV3</v>
      </c>
      <c r="U153" t="s">
        <v>24</v>
      </c>
    </row>
    <row r="154" spans="20:21" hidden="1" x14ac:dyDescent="0.2">
      <c r="T154" t="str">
        <f t="shared" si="2"/>
        <v>64HV3</v>
      </c>
      <c r="U154" t="s">
        <v>24</v>
      </c>
    </row>
    <row r="155" spans="20:21" hidden="1" x14ac:dyDescent="0.2">
      <c r="T155" t="str">
        <f t="shared" si="2"/>
        <v>65HV3</v>
      </c>
      <c r="U155" t="s">
        <v>25</v>
      </c>
    </row>
    <row r="156" spans="20:21" hidden="1" x14ac:dyDescent="0.2">
      <c r="T156" t="str">
        <f t="shared" ref="T156:T174" si="3">S72&amp;$R$9&amp;$R$11</f>
        <v>66HV3</v>
      </c>
      <c r="U156" t="s">
        <v>25</v>
      </c>
    </row>
    <row r="157" spans="20:21" hidden="1" x14ac:dyDescent="0.2">
      <c r="T157" t="str">
        <f t="shared" si="3"/>
        <v>67HV3</v>
      </c>
      <c r="U157" t="s">
        <v>23</v>
      </c>
    </row>
    <row r="158" spans="20:21" hidden="1" x14ac:dyDescent="0.2">
      <c r="T158" t="str">
        <f t="shared" si="3"/>
        <v>68HV3</v>
      </c>
      <c r="U158" t="s">
        <v>23</v>
      </c>
    </row>
    <row r="159" spans="20:21" hidden="1" x14ac:dyDescent="0.2">
      <c r="T159" t="str">
        <f t="shared" si="3"/>
        <v>69HV3</v>
      </c>
      <c r="U159" t="s">
        <v>24</v>
      </c>
    </row>
    <row r="160" spans="20:21" hidden="1" x14ac:dyDescent="0.2">
      <c r="T160" t="str">
        <f t="shared" si="3"/>
        <v>70HV3</v>
      </c>
      <c r="U160" t="s">
        <v>24</v>
      </c>
    </row>
    <row r="161" spans="20:21" hidden="1" x14ac:dyDescent="0.2">
      <c r="T161" t="str">
        <f t="shared" si="3"/>
        <v>71HV3</v>
      </c>
      <c r="U161" t="s">
        <v>25</v>
      </c>
    </row>
    <row r="162" spans="20:21" hidden="1" x14ac:dyDescent="0.2">
      <c r="T162" t="str">
        <f t="shared" si="3"/>
        <v>72HV3</v>
      </c>
      <c r="U162" t="s">
        <v>25</v>
      </c>
    </row>
    <row r="163" spans="20:21" hidden="1" x14ac:dyDescent="0.2">
      <c r="T163" t="str">
        <f t="shared" si="3"/>
        <v>73HV3</v>
      </c>
      <c r="U163" t="s">
        <v>23</v>
      </c>
    </row>
    <row r="164" spans="20:21" hidden="1" x14ac:dyDescent="0.2">
      <c r="T164" t="str">
        <f t="shared" si="3"/>
        <v>74HV3</v>
      </c>
      <c r="U164" t="s">
        <v>23</v>
      </c>
    </row>
    <row r="165" spans="20:21" hidden="1" x14ac:dyDescent="0.2">
      <c r="T165" t="str">
        <f t="shared" si="3"/>
        <v>75HV3</v>
      </c>
      <c r="U165" t="s">
        <v>24</v>
      </c>
    </row>
    <row r="166" spans="20:21" hidden="1" x14ac:dyDescent="0.2">
      <c r="T166" t="str">
        <f t="shared" si="3"/>
        <v>76HV3</v>
      </c>
      <c r="U166" t="s">
        <v>24</v>
      </c>
    </row>
    <row r="167" spans="20:21" hidden="1" x14ac:dyDescent="0.2">
      <c r="T167" t="str">
        <f t="shared" si="3"/>
        <v>77HV3</v>
      </c>
      <c r="U167" t="s">
        <v>25</v>
      </c>
    </row>
    <row r="168" spans="20:21" hidden="1" x14ac:dyDescent="0.2">
      <c r="T168" t="str">
        <f t="shared" si="3"/>
        <v>78HV3</v>
      </c>
      <c r="U168" t="s">
        <v>25</v>
      </c>
    </row>
    <row r="169" spans="20:21" hidden="1" x14ac:dyDescent="0.2">
      <c r="T169" t="str">
        <f t="shared" si="3"/>
        <v>79HV3</v>
      </c>
      <c r="U169" t="s">
        <v>23</v>
      </c>
    </row>
    <row r="170" spans="20:21" hidden="1" x14ac:dyDescent="0.2">
      <c r="T170" t="str">
        <f t="shared" si="3"/>
        <v>80HV3</v>
      </c>
      <c r="U170" t="s">
        <v>23</v>
      </c>
    </row>
    <row r="171" spans="20:21" hidden="1" x14ac:dyDescent="0.2">
      <c r="T171" t="str">
        <f t="shared" si="3"/>
        <v>81HV3</v>
      </c>
      <c r="U171" t="s">
        <v>24</v>
      </c>
    </row>
    <row r="172" spans="20:21" hidden="1" x14ac:dyDescent="0.2">
      <c r="T172" t="str">
        <f t="shared" si="3"/>
        <v>82HV3</v>
      </c>
      <c r="U172" t="s">
        <v>24</v>
      </c>
    </row>
    <row r="173" spans="20:21" hidden="1" x14ac:dyDescent="0.2">
      <c r="T173" t="str">
        <f t="shared" si="3"/>
        <v>83HV3</v>
      </c>
      <c r="U173" t="s">
        <v>25</v>
      </c>
    </row>
    <row r="174" spans="20:21" hidden="1" x14ac:dyDescent="0.2">
      <c r="T174" t="str">
        <f t="shared" si="3"/>
        <v>84HV3</v>
      </c>
      <c r="U174" t="s">
        <v>25</v>
      </c>
    </row>
    <row r="175" spans="20:21" hidden="1" x14ac:dyDescent="0.2">
      <c r="T175" t="str">
        <f>P7&amp;S175&amp;$R$8&amp;$R$10</f>
        <v>1LV1</v>
      </c>
      <c r="U175" t="s">
        <v>11</v>
      </c>
    </row>
    <row r="176" spans="20:21" hidden="1" x14ac:dyDescent="0.2">
      <c r="T176" t="str">
        <f t="shared" ref="T176:T239" si="4">S8&amp;S176&amp;$R$8&amp;$R$10</f>
        <v>2LV1</v>
      </c>
      <c r="U176" t="s">
        <v>11</v>
      </c>
    </row>
    <row r="177" spans="20:21" hidden="1" x14ac:dyDescent="0.2">
      <c r="T177" t="str">
        <f t="shared" si="4"/>
        <v>3LV1</v>
      </c>
      <c r="U177" t="s">
        <v>15</v>
      </c>
    </row>
    <row r="178" spans="20:21" hidden="1" x14ac:dyDescent="0.2">
      <c r="T178" t="str">
        <f t="shared" si="4"/>
        <v>4LV1</v>
      </c>
      <c r="U178" t="s">
        <v>15</v>
      </c>
    </row>
    <row r="179" spans="20:21" hidden="1" x14ac:dyDescent="0.2">
      <c r="T179" t="str">
        <f t="shared" si="4"/>
        <v>5LV1</v>
      </c>
      <c r="U179" t="s">
        <v>11</v>
      </c>
    </row>
    <row r="180" spans="20:21" hidden="1" x14ac:dyDescent="0.2">
      <c r="T180" t="str">
        <f t="shared" si="4"/>
        <v>6LV1</v>
      </c>
      <c r="U180" t="s">
        <v>11</v>
      </c>
    </row>
    <row r="181" spans="20:21" hidden="1" x14ac:dyDescent="0.2">
      <c r="T181" t="str">
        <f t="shared" si="4"/>
        <v>7LV1</v>
      </c>
      <c r="U181" t="s">
        <v>15</v>
      </c>
    </row>
    <row r="182" spans="20:21" hidden="1" x14ac:dyDescent="0.2">
      <c r="T182" t="str">
        <f t="shared" si="4"/>
        <v>8LV1</v>
      </c>
      <c r="U182" t="s">
        <v>15</v>
      </c>
    </row>
    <row r="183" spans="20:21" hidden="1" x14ac:dyDescent="0.2">
      <c r="T183" t="str">
        <f t="shared" si="4"/>
        <v>9LV1</v>
      </c>
      <c r="U183" t="s">
        <v>11</v>
      </c>
    </row>
    <row r="184" spans="20:21" hidden="1" x14ac:dyDescent="0.2">
      <c r="T184" t="str">
        <f t="shared" si="4"/>
        <v>10LV1</v>
      </c>
      <c r="U184" t="s">
        <v>11</v>
      </c>
    </row>
    <row r="185" spans="20:21" hidden="1" x14ac:dyDescent="0.2">
      <c r="T185" t="str">
        <f t="shared" si="4"/>
        <v>11LV1</v>
      </c>
      <c r="U185" t="s">
        <v>15</v>
      </c>
    </row>
    <row r="186" spans="20:21" hidden="1" x14ac:dyDescent="0.2">
      <c r="T186" t="str">
        <f t="shared" si="4"/>
        <v>12LV1</v>
      </c>
      <c r="U186" t="s">
        <v>15</v>
      </c>
    </row>
    <row r="187" spans="20:21" hidden="1" x14ac:dyDescent="0.2">
      <c r="T187" t="str">
        <f t="shared" si="4"/>
        <v>13LV1</v>
      </c>
      <c r="U187" t="s">
        <v>11</v>
      </c>
    </row>
    <row r="188" spans="20:21" hidden="1" x14ac:dyDescent="0.2">
      <c r="T188" t="str">
        <f t="shared" si="4"/>
        <v>14LV1</v>
      </c>
      <c r="U188" t="s">
        <v>11</v>
      </c>
    </row>
    <row r="189" spans="20:21" hidden="1" x14ac:dyDescent="0.2">
      <c r="T189" t="str">
        <f t="shared" si="4"/>
        <v>15LV1</v>
      </c>
      <c r="U189" t="s">
        <v>15</v>
      </c>
    </row>
    <row r="190" spans="20:21" hidden="1" x14ac:dyDescent="0.2">
      <c r="T190" t="str">
        <f t="shared" si="4"/>
        <v>16LV1</v>
      </c>
      <c r="U190" t="s">
        <v>15</v>
      </c>
    </row>
    <row r="191" spans="20:21" hidden="1" x14ac:dyDescent="0.2">
      <c r="T191" t="str">
        <f t="shared" si="4"/>
        <v>17LV1</v>
      </c>
      <c r="U191" t="s">
        <v>11</v>
      </c>
    </row>
    <row r="192" spans="20:21" hidden="1" x14ac:dyDescent="0.2">
      <c r="T192" t="str">
        <f t="shared" si="4"/>
        <v>18LV1</v>
      </c>
      <c r="U192" t="s">
        <v>11</v>
      </c>
    </row>
    <row r="193" spans="20:21" hidden="1" x14ac:dyDescent="0.2">
      <c r="T193" t="str">
        <f t="shared" si="4"/>
        <v>19LV1</v>
      </c>
      <c r="U193" t="s">
        <v>15</v>
      </c>
    </row>
    <row r="194" spans="20:21" hidden="1" x14ac:dyDescent="0.2">
      <c r="T194" t="str">
        <f t="shared" si="4"/>
        <v>20LV1</v>
      </c>
      <c r="U194" t="s">
        <v>15</v>
      </c>
    </row>
    <row r="195" spans="20:21" hidden="1" x14ac:dyDescent="0.2">
      <c r="T195" t="str">
        <f t="shared" si="4"/>
        <v>21LV1</v>
      </c>
      <c r="U195" t="s">
        <v>11</v>
      </c>
    </row>
    <row r="196" spans="20:21" hidden="1" x14ac:dyDescent="0.2">
      <c r="T196" t="str">
        <f t="shared" si="4"/>
        <v>22LV1</v>
      </c>
      <c r="U196" t="s">
        <v>11</v>
      </c>
    </row>
    <row r="197" spans="20:21" hidden="1" x14ac:dyDescent="0.2">
      <c r="T197" t="str">
        <f t="shared" si="4"/>
        <v>23LV1</v>
      </c>
      <c r="U197" t="s">
        <v>15</v>
      </c>
    </row>
    <row r="198" spans="20:21" hidden="1" x14ac:dyDescent="0.2">
      <c r="T198" t="str">
        <f t="shared" si="4"/>
        <v>24LV1</v>
      </c>
      <c r="U198" t="s">
        <v>15</v>
      </c>
    </row>
    <row r="199" spans="20:21" hidden="1" x14ac:dyDescent="0.2">
      <c r="T199" t="str">
        <f t="shared" si="4"/>
        <v>25LV1</v>
      </c>
      <c r="U199" t="s">
        <v>11</v>
      </c>
    </row>
    <row r="200" spans="20:21" hidden="1" x14ac:dyDescent="0.2">
      <c r="T200" t="str">
        <f t="shared" si="4"/>
        <v>26LV1</v>
      </c>
      <c r="U200" t="s">
        <v>11</v>
      </c>
    </row>
    <row r="201" spans="20:21" hidden="1" x14ac:dyDescent="0.2">
      <c r="T201" t="str">
        <f t="shared" si="4"/>
        <v>27LV1</v>
      </c>
      <c r="U201" t="s">
        <v>15</v>
      </c>
    </row>
    <row r="202" spans="20:21" hidden="1" x14ac:dyDescent="0.2">
      <c r="T202" t="str">
        <f t="shared" si="4"/>
        <v>28LV1</v>
      </c>
      <c r="U202" t="s">
        <v>15</v>
      </c>
    </row>
    <row r="203" spans="20:21" hidden="1" x14ac:dyDescent="0.2">
      <c r="T203" t="str">
        <f t="shared" si="4"/>
        <v>29LV1</v>
      </c>
      <c r="U203" t="s">
        <v>11</v>
      </c>
    </row>
    <row r="204" spans="20:21" hidden="1" x14ac:dyDescent="0.2">
      <c r="T204" t="str">
        <f t="shared" si="4"/>
        <v>30LV1</v>
      </c>
      <c r="U204" t="s">
        <v>11</v>
      </c>
    </row>
    <row r="205" spans="20:21" hidden="1" x14ac:dyDescent="0.2">
      <c r="T205" t="str">
        <f t="shared" si="4"/>
        <v>31LV1</v>
      </c>
      <c r="U205" t="s">
        <v>15</v>
      </c>
    </row>
    <row r="206" spans="20:21" hidden="1" x14ac:dyDescent="0.2">
      <c r="T206" t="str">
        <f t="shared" si="4"/>
        <v>32LV1</v>
      </c>
      <c r="U206" t="s">
        <v>15</v>
      </c>
    </row>
    <row r="207" spans="20:21" hidden="1" x14ac:dyDescent="0.2">
      <c r="T207" t="str">
        <f t="shared" si="4"/>
        <v>33LV1</v>
      </c>
      <c r="U207" t="s">
        <v>11</v>
      </c>
    </row>
    <row r="208" spans="20:21" hidden="1" x14ac:dyDescent="0.2">
      <c r="T208" t="str">
        <f t="shared" si="4"/>
        <v>34LV1</v>
      </c>
      <c r="U208" t="s">
        <v>11</v>
      </c>
    </row>
    <row r="209" spans="20:21" hidden="1" x14ac:dyDescent="0.2">
      <c r="T209" t="str">
        <f t="shared" si="4"/>
        <v>35LV1</v>
      </c>
      <c r="U209" t="s">
        <v>15</v>
      </c>
    </row>
    <row r="210" spans="20:21" hidden="1" x14ac:dyDescent="0.2">
      <c r="T210" t="str">
        <f t="shared" si="4"/>
        <v>36LV1</v>
      </c>
      <c r="U210" t="s">
        <v>15</v>
      </c>
    </row>
    <row r="211" spans="20:21" hidden="1" x14ac:dyDescent="0.2">
      <c r="T211" t="str">
        <f t="shared" si="4"/>
        <v>37LV1</v>
      </c>
      <c r="U211" t="s">
        <v>11</v>
      </c>
    </row>
    <row r="212" spans="20:21" hidden="1" x14ac:dyDescent="0.2">
      <c r="T212" t="str">
        <f t="shared" si="4"/>
        <v>38LV1</v>
      </c>
      <c r="U212" t="s">
        <v>11</v>
      </c>
    </row>
    <row r="213" spans="20:21" hidden="1" x14ac:dyDescent="0.2">
      <c r="T213" t="str">
        <f t="shared" si="4"/>
        <v>39LV1</v>
      </c>
      <c r="U213" t="s">
        <v>15</v>
      </c>
    </row>
    <row r="214" spans="20:21" hidden="1" x14ac:dyDescent="0.2">
      <c r="T214" t="str">
        <f t="shared" si="4"/>
        <v>40LV1</v>
      </c>
      <c r="U214" t="s">
        <v>15</v>
      </c>
    </row>
    <row r="215" spans="20:21" hidden="1" x14ac:dyDescent="0.2">
      <c r="T215" t="str">
        <f t="shared" si="4"/>
        <v>41LV1</v>
      </c>
      <c r="U215" t="s">
        <v>11</v>
      </c>
    </row>
    <row r="216" spans="20:21" hidden="1" x14ac:dyDescent="0.2">
      <c r="T216" t="str">
        <f t="shared" si="4"/>
        <v>42LV1</v>
      </c>
      <c r="U216" t="s">
        <v>11</v>
      </c>
    </row>
    <row r="217" spans="20:21" hidden="1" x14ac:dyDescent="0.2">
      <c r="T217" t="str">
        <f t="shared" si="4"/>
        <v>43LV1</v>
      </c>
      <c r="U217" t="s">
        <v>15</v>
      </c>
    </row>
    <row r="218" spans="20:21" hidden="1" x14ac:dyDescent="0.2">
      <c r="T218" t="str">
        <f t="shared" si="4"/>
        <v>44LV1</v>
      </c>
      <c r="U218" t="s">
        <v>15</v>
      </c>
    </row>
    <row r="219" spans="20:21" hidden="1" x14ac:dyDescent="0.2">
      <c r="T219" t="str">
        <f t="shared" si="4"/>
        <v>45LV1</v>
      </c>
      <c r="U219" t="s">
        <v>11</v>
      </c>
    </row>
    <row r="220" spans="20:21" hidden="1" x14ac:dyDescent="0.2">
      <c r="T220" t="str">
        <f t="shared" si="4"/>
        <v>46LV1</v>
      </c>
      <c r="U220" t="s">
        <v>11</v>
      </c>
    </row>
    <row r="221" spans="20:21" hidden="1" x14ac:dyDescent="0.2">
      <c r="T221" t="str">
        <f t="shared" si="4"/>
        <v>47LV1</v>
      </c>
      <c r="U221" t="s">
        <v>15</v>
      </c>
    </row>
    <row r="222" spans="20:21" hidden="1" x14ac:dyDescent="0.2">
      <c r="T222" t="str">
        <f t="shared" si="4"/>
        <v>48LV1</v>
      </c>
      <c r="U222" t="s">
        <v>15</v>
      </c>
    </row>
    <row r="223" spans="20:21" hidden="1" x14ac:dyDescent="0.2">
      <c r="T223" t="str">
        <f t="shared" si="4"/>
        <v>49LV1</v>
      </c>
      <c r="U223" t="s">
        <v>11</v>
      </c>
    </row>
    <row r="224" spans="20:21" hidden="1" x14ac:dyDescent="0.2">
      <c r="T224" t="str">
        <f t="shared" si="4"/>
        <v>50LV1</v>
      </c>
      <c r="U224" t="s">
        <v>11</v>
      </c>
    </row>
    <row r="225" spans="20:21" hidden="1" x14ac:dyDescent="0.2">
      <c r="T225" t="str">
        <f t="shared" si="4"/>
        <v>51LV1</v>
      </c>
      <c r="U225" t="s">
        <v>15</v>
      </c>
    </row>
    <row r="226" spans="20:21" hidden="1" x14ac:dyDescent="0.2">
      <c r="T226" t="str">
        <f t="shared" si="4"/>
        <v>52LV1</v>
      </c>
      <c r="U226" t="s">
        <v>15</v>
      </c>
    </row>
    <row r="227" spans="20:21" hidden="1" x14ac:dyDescent="0.2">
      <c r="T227" t="str">
        <f t="shared" si="4"/>
        <v>53LV1</v>
      </c>
      <c r="U227" t="s">
        <v>11</v>
      </c>
    </row>
    <row r="228" spans="20:21" hidden="1" x14ac:dyDescent="0.2">
      <c r="T228" t="str">
        <f t="shared" si="4"/>
        <v>54LV1</v>
      </c>
      <c r="U228" t="s">
        <v>11</v>
      </c>
    </row>
    <row r="229" spans="20:21" hidden="1" x14ac:dyDescent="0.2">
      <c r="T229" t="str">
        <f t="shared" si="4"/>
        <v>55LV1</v>
      </c>
      <c r="U229" t="s">
        <v>15</v>
      </c>
    </row>
    <row r="230" spans="20:21" hidden="1" x14ac:dyDescent="0.2">
      <c r="T230" t="str">
        <f t="shared" si="4"/>
        <v>56LV1</v>
      </c>
      <c r="U230" t="s">
        <v>15</v>
      </c>
    </row>
    <row r="231" spans="20:21" hidden="1" x14ac:dyDescent="0.2">
      <c r="T231" t="str">
        <f t="shared" si="4"/>
        <v>57LV1</v>
      </c>
      <c r="U231" t="s">
        <v>11</v>
      </c>
    </row>
    <row r="232" spans="20:21" hidden="1" x14ac:dyDescent="0.2">
      <c r="T232" t="str">
        <f t="shared" si="4"/>
        <v>58LV1</v>
      </c>
      <c r="U232" t="s">
        <v>11</v>
      </c>
    </row>
    <row r="233" spans="20:21" hidden="1" x14ac:dyDescent="0.2">
      <c r="T233" t="str">
        <f t="shared" si="4"/>
        <v>59LV1</v>
      </c>
      <c r="U233" t="s">
        <v>15</v>
      </c>
    </row>
    <row r="234" spans="20:21" hidden="1" x14ac:dyDescent="0.2">
      <c r="T234" t="str">
        <f t="shared" si="4"/>
        <v>60LV1</v>
      </c>
      <c r="U234" t="s">
        <v>15</v>
      </c>
    </row>
    <row r="235" spans="20:21" hidden="1" x14ac:dyDescent="0.2">
      <c r="T235" t="str">
        <f t="shared" si="4"/>
        <v>61LV1</v>
      </c>
      <c r="U235" t="s">
        <v>11</v>
      </c>
    </row>
    <row r="236" spans="20:21" hidden="1" x14ac:dyDescent="0.2">
      <c r="T236" t="str">
        <f t="shared" si="4"/>
        <v>62LV1</v>
      </c>
      <c r="U236" t="s">
        <v>11</v>
      </c>
    </row>
    <row r="237" spans="20:21" hidden="1" x14ac:dyDescent="0.2">
      <c r="T237" t="str">
        <f t="shared" si="4"/>
        <v>63LV1</v>
      </c>
      <c r="U237" t="s">
        <v>15</v>
      </c>
    </row>
    <row r="238" spans="20:21" hidden="1" x14ac:dyDescent="0.2">
      <c r="T238" t="str">
        <f t="shared" si="4"/>
        <v>64LV1</v>
      </c>
      <c r="U238" t="s">
        <v>15</v>
      </c>
    </row>
    <row r="239" spans="20:21" hidden="1" x14ac:dyDescent="0.2">
      <c r="T239" t="str">
        <f t="shared" si="4"/>
        <v>65LV1</v>
      </c>
      <c r="U239" t="s">
        <v>11</v>
      </c>
    </row>
    <row r="240" spans="20:21" hidden="1" x14ac:dyDescent="0.2">
      <c r="T240" t="str">
        <f t="shared" ref="T240:T258" si="5">S72&amp;S240&amp;$R$8&amp;$R$10</f>
        <v>66LV1</v>
      </c>
      <c r="U240" t="s">
        <v>11</v>
      </c>
    </row>
    <row r="241" spans="20:21" hidden="1" x14ac:dyDescent="0.2">
      <c r="T241" t="str">
        <f t="shared" si="5"/>
        <v>67LV1</v>
      </c>
      <c r="U241" t="s">
        <v>15</v>
      </c>
    </row>
    <row r="242" spans="20:21" hidden="1" x14ac:dyDescent="0.2">
      <c r="T242" t="str">
        <f t="shared" si="5"/>
        <v>68LV1</v>
      </c>
      <c r="U242" t="s">
        <v>15</v>
      </c>
    </row>
    <row r="243" spans="20:21" hidden="1" x14ac:dyDescent="0.2">
      <c r="T243" t="str">
        <f t="shared" si="5"/>
        <v>69LV1</v>
      </c>
      <c r="U243" t="s">
        <v>11</v>
      </c>
    </row>
    <row r="244" spans="20:21" hidden="1" x14ac:dyDescent="0.2">
      <c r="T244" t="str">
        <f t="shared" si="5"/>
        <v>70LV1</v>
      </c>
      <c r="U244" t="s">
        <v>11</v>
      </c>
    </row>
    <row r="245" spans="20:21" hidden="1" x14ac:dyDescent="0.2">
      <c r="T245" t="str">
        <f t="shared" si="5"/>
        <v>71LV1</v>
      </c>
      <c r="U245" t="s">
        <v>15</v>
      </c>
    </row>
    <row r="246" spans="20:21" hidden="1" x14ac:dyDescent="0.2">
      <c r="T246" t="str">
        <f t="shared" si="5"/>
        <v>72LV1</v>
      </c>
      <c r="U246" t="s">
        <v>15</v>
      </c>
    </row>
    <row r="247" spans="20:21" hidden="1" x14ac:dyDescent="0.2">
      <c r="T247" t="str">
        <f t="shared" si="5"/>
        <v>73LV1</v>
      </c>
      <c r="U247" t="s">
        <v>11</v>
      </c>
    </row>
    <row r="248" spans="20:21" hidden="1" x14ac:dyDescent="0.2">
      <c r="T248" t="str">
        <f t="shared" si="5"/>
        <v>74LV1</v>
      </c>
      <c r="U248" t="s">
        <v>11</v>
      </c>
    </row>
    <row r="249" spans="20:21" hidden="1" x14ac:dyDescent="0.2">
      <c r="T249" t="str">
        <f t="shared" si="5"/>
        <v>75LV1</v>
      </c>
      <c r="U249" t="s">
        <v>15</v>
      </c>
    </row>
    <row r="250" spans="20:21" hidden="1" x14ac:dyDescent="0.2">
      <c r="T250" t="str">
        <f t="shared" si="5"/>
        <v>76LV1</v>
      </c>
      <c r="U250" t="s">
        <v>15</v>
      </c>
    </row>
    <row r="251" spans="20:21" hidden="1" x14ac:dyDescent="0.2">
      <c r="T251" t="str">
        <f t="shared" si="5"/>
        <v>77LV1</v>
      </c>
      <c r="U251" t="s">
        <v>11</v>
      </c>
    </row>
    <row r="252" spans="20:21" hidden="1" x14ac:dyDescent="0.2">
      <c r="T252" t="str">
        <f t="shared" si="5"/>
        <v>78LV1</v>
      </c>
      <c r="U252" t="s">
        <v>11</v>
      </c>
    </row>
    <row r="253" spans="20:21" hidden="1" x14ac:dyDescent="0.2">
      <c r="T253" t="str">
        <f t="shared" si="5"/>
        <v>79LV1</v>
      </c>
      <c r="U253" t="s">
        <v>15</v>
      </c>
    </row>
    <row r="254" spans="20:21" hidden="1" x14ac:dyDescent="0.2">
      <c r="T254" t="str">
        <f t="shared" si="5"/>
        <v>80LV1</v>
      </c>
      <c r="U254" t="s">
        <v>15</v>
      </c>
    </row>
    <row r="255" spans="20:21" hidden="1" x14ac:dyDescent="0.2">
      <c r="T255" t="str">
        <f t="shared" si="5"/>
        <v>81LV1</v>
      </c>
      <c r="U255" t="s">
        <v>11</v>
      </c>
    </row>
    <row r="256" spans="20:21" hidden="1" x14ac:dyDescent="0.2">
      <c r="T256" t="str">
        <f t="shared" si="5"/>
        <v>82LV1</v>
      </c>
      <c r="U256" t="s">
        <v>11</v>
      </c>
    </row>
    <row r="257" spans="20:21" hidden="1" x14ac:dyDescent="0.2">
      <c r="T257" t="str">
        <f t="shared" si="5"/>
        <v>83LV1</v>
      </c>
      <c r="U257" t="s">
        <v>15</v>
      </c>
    </row>
    <row r="258" spans="20:21" hidden="1" x14ac:dyDescent="0.2">
      <c r="T258" t="str">
        <f t="shared" si="5"/>
        <v>84LV1</v>
      </c>
      <c r="U258" t="s">
        <v>15</v>
      </c>
    </row>
    <row r="259" spans="20:21" hidden="1" x14ac:dyDescent="0.2">
      <c r="T259" t="str">
        <f>P7&amp;S175&amp;$R$9&amp;$R$10</f>
        <v>1HV1</v>
      </c>
      <c r="U259" t="s">
        <v>23</v>
      </c>
    </row>
    <row r="260" spans="20:21" hidden="1" x14ac:dyDescent="0.2">
      <c r="T260" t="str">
        <f t="shared" ref="T260:T323" si="6">S8&amp;S176&amp;$R$9&amp;$R$10</f>
        <v>2HV1</v>
      </c>
      <c r="U260" t="s">
        <v>23</v>
      </c>
    </row>
    <row r="261" spans="20:21" hidden="1" x14ac:dyDescent="0.2">
      <c r="T261" t="str">
        <f t="shared" si="6"/>
        <v>3HV1</v>
      </c>
      <c r="U261" t="s">
        <v>24</v>
      </c>
    </row>
    <row r="262" spans="20:21" hidden="1" x14ac:dyDescent="0.2">
      <c r="T262" t="str">
        <f t="shared" si="6"/>
        <v>4HV1</v>
      </c>
      <c r="U262" t="s">
        <v>24</v>
      </c>
    </row>
    <row r="263" spans="20:21" hidden="1" x14ac:dyDescent="0.2">
      <c r="T263" t="str">
        <f t="shared" si="6"/>
        <v>5HV1</v>
      </c>
      <c r="U263" t="s">
        <v>23</v>
      </c>
    </row>
    <row r="264" spans="20:21" hidden="1" x14ac:dyDescent="0.2">
      <c r="T264" t="str">
        <f t="shared" si="6"/>
        <v>6HV1</v>
      </c>
      <c r="U264" t="s">
        <v>23</v>
      </c>
    </row>
    <row r="265" spans="20:21" hidden="1" x14ac:dyDescent="0.2">
      <c r="T265" t="str">
        <f t="shared" si="6"/>
        <v>7HV1</v>
      </c>
      <c r="U265" t="s">
        <v>24</v>
      </c>
    </row>
    <row r="266" spans="20:21" hidden="1" x14ac:dyDescent="0.2">
      <c r="T266" t="str">
        <f t="shared" si="6"/>
        <v>8HV1</v>
      </c>
      <c r="U266" t="s">
        <v>24</v>
      </c>
    </row>
    <row r="267" spans="20:21" hidden="1" x14ac:dyDescent="0.2">
      <c r="T267" t="str">
        <f t="shared" si="6"/>
        <v>9HV1</v>
      </c>
      <c r="U267" t="s">
        <v>23</v>
      </c>
    </row>
    <row r="268" spans="20:21" hidden="1" x14ac:dyDescent="0.2">
      <c r="T268" t="str">
        <f t="shared" si="6"/>
        <v>10HV1</v>
      </c>
      <c r="U268" t="s">
        <v>23</v>
      </c>
    </row>
    <row r="269" spans="20:21" hidden="1" x14ac:dyDescent="0.2">
      <c r="T269" t="str">
        <f t="shared" si="6"/>
        <v>11HV1</v>
      </c>
      <c r="U269" t="s">
        <v>24</v>
      </c>
    </row>
    <row r="270" spans="20:21" hidden="1" x14ac:dyDescent="0.2">
      <c r="T270" t="str">
        <f t="shared" si="6"/>
        <v>12HV1</v>
      </c>
      <c r="U270" t="s">
        <v>24</v>
      </c>
    </row>
    <row r="271" spans="20:21" hidden="1" x14ac:dyDescent="0.2">
      <c r="T271" t="str">
        <f t="shared" si="6"/>
        <v>13HV1</v>
      </c>
      <c r="U271" t="s">
        <v>23</v>
      </c>
    </row>
    <row r="272" spans="20:21" hidden="1" x14ac:dyDescent="0.2">
      <c r="T272" t="str">
        <f t="shared" si="6"/>
        <v>14HV1</v>
      </c>
      <c r="U272" t="s">
        <v>23</v>
      </c>
    </row>
    <row r="273" spans="20:21" hidden="1" x14ac:dyDescent="0.2">
      <c r="T273" t="str">
        <f t="shared" si="6"/>
        <v>15HV1</v>
      </c>
      <c r="U273" t="s">
        <v>24</v>
      </c>
    </row>
    <row r="274" spans="20:21" hidden="1" x14ac:dyDescent="0.2">
      <c r="T274" t="str">
        <f t="shared" si="6"/>
        <v>16HV1</v>
      </c>
      <c r="U274" t="s">
        <v>24</v>
      </c>
    </row>
    <row r="275" spans="20:21" hidden="1" x14ac:dyDescent="0.2">
      <c r="T275" t="str">
        <f t="shared" si="6"/>
        <v>17HV1</v>
      </c>
      <c r="U275" t="s">
        <v>23</v>
      </c>
    </row>
    <row r="276" spans="20:21" hidden="1" x14ac:dyDescent="0.2">
      <c r="T276" t="str">
        <f t="shared" si="6"/>
        <v>18HV1</v>
      </c>
      <c r="U276" t="s">
        <v>23</v>
      </c>
    </row>
    <row r="277" spans="20:21" hidden="1" x14ac:dyDescent="0.2">
      <c r="T277" t="str">
        <f t="shared" si="6"/>
        <v>19HV1</v>
      </c>
      <c r="U277" t="s">
        <v>24</v>
      </c>
    </row>
    <row r="278" spans="20:21" hidden="1" x14ac:dyDescent="0.2">
      <c r="T278" t="str">
        <f t="shared" si="6"/>
        <v>20HV1</v>
      </c>
      <c r="U278" t="s">
        <v>24</v>
      </c>
    </row>
    <row r="279" spans="20:21" hidden="1" x14ac:dyDescent="0.2">
      <c r="T279" t="str">
        <f t="shared" si="6"/>
        <v>21HV1</v>
      </c>
      <c r="U279" t="s">
        <v>23</v>
      </c>
    </row>
    <row r="280" spans="20:21" hidden="1" x14ac:dyDescent="0.2">
      <c r="T280" t="str">
        <f t="shared" si="6"/>
        <v>22HV1</v>
      </c>
      <c r="U280" t="s">
        <v>23</v>
      </c>
    </row>
    <row r="281" spans="20:21" hidden="1" x14ac:dyDescent="0.2">
      <c r="T281" t="str">
        <f t="shared" si="6"/>
        <v>23HV1</v>
      </c>
      <c r="U281" t="s">
        <v>24</v>
      </c>
    </row>
    <row r="282" spans="20:21" hidden="1" x14ac:dyDescent="0.2">
      <c r="T282" t="str">
        <f t="shared" si="6"/>
        <v>24HV1</v>
      </c>
      <c r="U282" t="s">
        <v>24</v>
      </c>
    </row>
    <row r="283" spans="20:21" hidden="1" x14ac:dyDescent="0.2">
      <c r="T283" t="str">
        <f t="shared" si="6"/>
        <v>25HV1</v>
      </c>
      <c r="U283" t="s">
        <v>23</v>
      </c>
    </row>
    <row r="284" spans="20:21" hidden="1" x14ac:dyDescent="0.2">
      <c r="T284" t="str">
        <f t="shared" si="6"/>
        <v>26HV1</v>
      </c>
      <c r="U284" t="s">
        <v>23</v>
      </c>
    </row>
    <row r="285" spans="20:21" hidden="1" x14ac:dyDescent="0.2">
      <c r="T285" t="str">
        <f t="shared" si="6"/>
        <v>27HV1</v>
      </c>
      <c r="U285" t="s">
        <v>24</v>
      </c>
    </row>
    <row r="286" spans="20:21" hidden="1" x14ac:dyDescent="0.2">
      <c r="T286" t="str">
        <f t="shared" si="6"/>
        <v>28HV1</v>
      </c>
      <c r="U286" t="s">
        <v>24</v>
      </c>
    </row>
    <row r="287" spans="20:21" hidden="1" x14ac:dyDescent="0.2">
      <c r="T287" t="str">
        <f t="shared" si="6"/>
        <v>29HV1</v>
      </c>
      <c r="U287" t="s">
        <v>23</v>
      </c>
    </row>
    <row r="288" spans="20:21" hidden="1" x14ac:dyDescent="0.2">
      <c r="T288" t="str">
        <f t="shared" si="6"/>
        <v>30HV1</v>
      </c>
      <c r="U288" t="s">
        <v>23</v>
      </c>
    </row>
    <row r="289" spans="20:21" hidden="1" x14ac:dyDescent="0.2">
      <c r="T289" t="str">
        <f t="shared" si="6"/>
        <v>31HV1</v>
      </c>
      <c r="U289" t="s">
        <v>24</v>
      </c>
    </row>
    <row r="290" spans="20:21" hidden="1" x14ac:dyDescent="0.2">
      <c r="T290" t="str">
        <f t="shared" si="6"/>
        <v>32HV1</v>
      </c>
      <c r="U290" t="s">
        <v>24</v>
      </c>
    </row>
    <row r="291" spans="20:21" hidden="1" x14ac:dyDescent="0.2">
      <c r="T291" t="str">
        <f t="shared" si="6"/>
        <v>33HV1</v>
      </c>
      <c r="U291" t="s">
        <v>23</v>
      </c>
    </row>
    <row r="292" spans="20:21" hidden="1" x14ac:dyDescent="0.2">
      <c r="T292" t="str">
        <f t="shared" si="6"/>
        <v>34HV1</v>
      </c>
      <c r="U292" t="s">
        <v>23</v>
      </c>
    </row>
    <row r="293" spans="20:21" hidden="1" x14ac:dyDescent="0.2">
      <c r="T293" t="str">
        <f t="shared" si="6"/>
        <v>35HV1</v>
      </c>
      <c r="U293" t="s">
        <v>24</v>
      </c>
    </row>
    <row r="294" spans="20:21" hidden="1" x14ac:dyDescent="0.2">
      <c r="T294" t="str">
        <f t="shared" si="6"/>
        <v>36HV1</v>
      </c>
      <c r="U294" t="s">
        <v>24</v>
      </c>
    </row>
    <row r="295" spans="20:21" hidden="1" x14ac:dyDescent="0.2">
      <c r="T295" t="str">
        <f t="shared" si="6"/>
        <v>37HV1</v>
      </c>
      <c r="U295" t="s">
        <v>23</v>
      </c>
    </row>
    <row r="296" spans="20:21" hidden="1" x14ac:dyDescent="0.2">
      <c r="T296" t="str">
        <f t="shared" si="6"/>
        <v>38HV1</v>
      </c>
      <c r="U296" t="s">
        <v>23</v>
      </c>
    </row>
    <row r="297" spans="20:21" hidden="1" x14ac:dyDescent="0.2">
      <c r="T297" t="str">
        <f t="shared" si="6"/>
        <v>39HV1</v>
      </c>
      <c r="U297" t="s">
        <v>24</v>
      </c>
    </row>
    <row r="298" spans="20:21" hidden="1" x14ac:dyDescent="0.2">
      <c r="T298" t="str">
        <f t="shared" si="6"/>
        <v>40HV1</v>
      </c>
      <c r="U298" t="s">
        <v>24</v>
      </c>
    </row>
    <row r="299" spans="20:21" hidden="1" x14ac:dyDescent="0.2">
      <c r="T299" t="str">
        <f t="shared" si="6"/>
        <v>41HV1</v>
      </c>
      <c r="U299" t="s">
        <v>23</v>
      </c>
    </row>
    <row r="300" spans="20:21" hidden="1" x14ac:dyDescent="0.2">
      <c r="T300" t="str">
        <f t="shared" si="6"/>
        <v>42HV1</v>
      </c>
      <c r="U300" t="s">
        <v>23</v>
      </c>
    </row>
    <row r="301" spans="20:21" hidden="1" x14ac:dyDescent="0.2">
      <c r="T301" t="str">
        <f t="shared" si="6"/>
        <v>43HV1</v>
      </c>
      <c r="U301" t="s">
        <v>24</v>
      </c>
    </row>
    <row r="302" spans="20:21" hidden="1" x14ac:dyDescent="0.2">
      <c r="T302" t="str">
        <f t="shared" si="6"/>
        <v>44HV1</v>
      </c>
      <c r="U302" t="s">
        <v>24</v>
      </c>
    </row>
    <row r="303" spans="20:21" hidden="1" x14ac:dyDescent="0.2">
      <c r="T303" t="str">
        <f t="shared" si="6"/>
        <v>45HV1</v>
      </c>
      <c r="U303" t="s">
        <v>23</v>
      </c>
    </row>
    <row r="304" spans="20:21" hidden="1" x14ac:dyDescent="0.2">
      <c r="T304" t="str">
        <f t="shared" si="6"/>
        <v>46HV1</v>
      </c>
      <c r="U304" t="s">
        <v>23</v>
      </c>
    </row>
    <row r="305" spans="20:21" hidden="1" x14ac:dyDescent="0.2">
      <c r="T305" t="str">
        <f t="shared" si="6"/>
        <v>47HV1</v>
      </c>
      <c r="U305" t="s">
        <v>24</v>
      </c>
    </row>
    <row r="306" spans="20:21" hidden="1" x14ac:dyDescent="0.2">
      <c r="T306" t="str">
        <f t="shared" si="6"/>
        <v>48HV1</v>
      </c>
      <c r="U306" t="s">
        <v>24</v>
      </c>
    </row>
    <row r="307" spans="20:21" hidden="1" x14ac:dyDescent="0.2">
      <c r="T307" t="str">
        <f t="shared" si="6"/>
        <v>49HV1</v>
      </c>
      <c r="U307" t="s">
        <v>23</v>
      </c>
    </row>
    <row r="308" spans="20:21" hidden="1" x14ac:dyDescent="0.2">
      <c r="T308" t="str">
        <f t="shared" si="6"/>
        <v>50HV1</v>
      </c>
      <c r="U308" t="s">
        <v>23</v>
      </c>
    </row>
    <row r="309" spans="20:21" hidden="1" x14ac:dyDescent="0.2">
      <c r="T309" t="str">
        <f t="shared" si="6"/>
        <v>51HV1</v>
      </c>
      <c r="U309" t="s">
        <v>24</v>
      </c>
    </row>
    <row r="310" spans="20:21" hidden="1" x14ac:dyDescent="0.2">
      <c r="T310" t="str">
        <f t="shared" si="6"/>
        <v>52HV1</v>
      </c>
      <c r="U310" t="s">
        <v>24</v>
      </c>
    </row>
    <row r="311" spans="20:21" hidden="1" x14ac:dyDescent="0.2">
      <c r="T311" t="str">
        <f t="shared" si="6"/>
        <v>53HV1</v>
      </c>
      <c r="U311" t="s">
        <v>23</v>
      </c>
    </row>
    <row r="312" spans="20:21" hidden="1" x14ac:dyDescent="0.2">
      <c r="T312" t="str">
        <f t="shared" si="6"/>
        <v>54HV1</v>
      </c>
      <c r="U312" t="s">
        <v>23</v>
      </c>
    </row>
    <row r="313" spans="20:21" hidden="1" x14ac:dyDescent="0.2">
      <c r="T313" t="str">
        <f t="shared" si="6"/>
        <v>55HV1</v>
      </c>
      <c r="U313" t="s">
        <v>24</v>
      </c>
    </row>
    <row r="314" spans="20:21" hidden="1" x14ac:dyDescent="0.2">
      <c r="T314" t="str">
        <f t="shared" si="6"/>
        <v>56HV1</v>
      </c>
      <c r="U314" t="s">
        <v>24</v>
      </c>
    </row>
    <row r="315" spans="20:21" hidden="1" x14ac:dyDescent="0.2">
      <c r="T315" t="str">
        <f t="shared" si="6"/>
        <v>57HV1</v>
      </c>
      <c r="U315" t="s">
        <v>23</v>
      </c>
    </row>
    <row r="316" spans="20:21" hidden="1" x14ac:dyDescent="0.2">
      <c r="T316" t="str">
        <f t="shared" si="6"/>
        <v>58HV1</v>
      </c>
      <c r="U316" t="s">
        <v>23</v>
      </c>
    </row>
    <row r="317" spans="20:21" hidden="1" x14ac:dyDescent="0.2">
      <c r="T317" t="str">
        <f t="shared" si="6"/>
        <v>59HV1</v>
      </c>
      <c r="U317" t="s">
        <v>24</v>
      </c>
    </row>
    <row r="318" spans="20:21" hidden="1" x14ac:dyDescent="0.2">
      <c r="T318" t="str">
        <f t="shared" si="6"/>
        <v>60HV1</v>
      </c>
      <c r="U318" t="s">
        <v>24</v>
      </c>
    </row>
    <row r="319" spans="20:21" hidden="1" x14ac:dyDescent="0.2">
      <c r="T319" t="str">
        <f t="shared" si="6"/>
        <v>61HV1</v>
      </c>
      <c r="U319" t="s">
        <v>23</v>
      </c>
    </row>
    <row r="320" spans="20:21" hidden="1" x14ac:dyDescent="0.2">
      <c r="T320" t="str">
        <f t="shared" si="6"/>
        <v>62HV1</v>
      </c>
      <c r="U320" t="s">
        <v>23</v>
      </c>
    </row>
    <row r="321" spans="20:21" hidden="1" x14ac:dyDescent="0.2">
      <c r="T321" t="str">
        <f t="shared" si="6"/>
        <v>63HV1</v>
      </c>
      <c r="U321" t="s">
        <v>24</v>
      </c>
    </row>
    <row r="322" spans="20:21" hidden="1" x14ac:dyDescent="0.2">
      <c r="T322" t="str">
        <f t="shared" si="6"/>
        <v>64HV1</v>
      </c>
      <c r="U322" t="s">
        <v>24</v>
      </c>
    </row>
    <row r="323" spans="20:21" hidden="1" x14ac:dyDescent="0.2">
      <c r="T323" t="str">
        <f t="shared" si="6"/>
        <v>65HV1</v>
      </c>
      <c r="U323" t="s">
        <v>23</v>
      </c>
    </row>
    <row r="324" spans="20:21" hidden="1" x14ac:dyDescent="0.2">
      <c r="T324" t="str">
        <f t="shared" ref="T324:T342" si="7">S72&amp;S240&amp;$R$9&amp;$R$10</f>
        <v>66HV1</v>
      </c>
      <c r="U324" t="s">
        <v>23</v>
      </c>
    </row>
    <row r="325" spans="20:21" hidden="1" x14ac:dyDescent="0.2">
      <c r="T325" t="str">
        <f t="shared" si="7"/>
        <v>67HV1</v>
      </c>
      <c r="U325" t="s">
        <v>24</v>
      </c>
    </row>
    <row r="326" spans="20:21" hidden="1" x14ac:dyDescent="0.2">
      <c r="T326" t="str">
        <f t="shared" si="7"/>
        <v>68HV1</v>
      </c>
      <c r="U326" t="s">
        <v>24</v>
      </c>
    </row>
    <row r="327" spans="20:21" hidden="1" x14ac:dyDescent="0.2">
      <c r="T327" t="str">
        <f t="shared" si="7"/>
        <v>69HV1</v>
      </c>
      <c r="U327" t="s">
        <v>23</v>
      </c>
    </row>
    <row r="328" spans="20:21" hidden="1" x14ac:dyDescent="0.2">
      <c r="T328" t="str">
        <f t="shared" si="7"/>
        <v>70HV1</v>
      </c>
      <c r="U328" t="s">
        <v>23</v>
      </c>
    </row>
    <row r="329" spans="20:21" hidden="1" x14ac:dyDescent="0.2">
      <c r="T329" t="str">
        <f t="shared" si="7"/>
        <v>71HV1</v>
      </c>
      <c r="U329" t="s">
        <v>24</v>
      </c>
    </row>
    <row r="330" spans="20:21" hidden="1" x14ac:dyDescent="0.2">
      <c r="T330" t="str">
        <f t="shared" si="7"/>
        <v>72HV1</v>
      </c>
      <c r="U330" t="s">
        <v>24</v>
      </c>
    </row>
    <row r="331" spans="20:21" hidden="1" x14ac:dyDescent="0.2">
      <c r="T331" t="str">
        <f t="shared" si="7"/>
        <v>73HV1</v>
      </c>
      <c r="U331" t="s">
        <v>23</v>
      </c>
    </row>
    <row r="332" spans="20:21" hidden="1" x14ac:dyDescent="0.2">
      <c r="T332" t="str">
        <f t="shared" si="7"/>
        <v>74HV1</v>
      </c>
      <c r="U332" t="s">
        <v>23</v>
      </c>
    </row>
    <row r="333" spans="20:21" hidden="1" x14ac:dyDescent="0.2">
      <c r="T333" t="str">
        <f t="shared" si="7"/>
        <v>75HV1</v>
      </c>
      <c r="U333" t="s">
        <v>24</v>
      </c>
    </row>
    <row r="334" spans="20:21" hidden="1" x14ac:dyDescent="0.2">
      <c r="T334" t="str">
        <f t="shared" si="7"/>
        <v>76HV1</v>
      </c>
      <c r="U334" t="s">
        <v>24</v>
      </c>
    </row>
    <row r="335" spans="20:21" hidden="1" x14ac:dyDescent="0.2">
      <c r="T335" t="str">
        <f t="shared" si="7"/>
        <v>77HV1</v>
      </c>
      <c r="U335" t="s">
        <v>23</v>
      </c>
    </row>
    <row r="336" spans="20:21" hidden="1" x14ac:dyDescent="0.2">
      <c r="T336" t="str">
        <f t="shared" si="7"/>
        <v>78HV1</v>
      </c>
      <c r="U336" t="s">
        <v>23</v>
      </c>
    </row>
    <row r="337" spans="20:21" hidden="1" x14ac:dyDescent="0.2">
      <c r="T337" t="str">
        <f t="shared" si="7"/>
        <v>79HV1</v>
      </c>
      <c r="U337" t="s">
        <v>24</v>
      </c>
    </row>
    <row r="338" spans="20:21" hidden="1" x14ac:dyDescent="0.2">
      <c r="T338" t="str">
        <f t="shared" si="7"/>
        <v>80HV1</v>
      </c>
      <c r="U338" t="s">
        <v>24</v>
      </c>
    </row>
    <row r="339" spans="20:21" hidden="1" x14ac:dyDescent="0.2">
      <c r="T339" t="str">
        <f t="shared" si="7"/>
        <v>81HV1</v>
      </c>
      <c r="U339" t="s">
        <v>23</v>
      </c>
    </row>
    <row r="340" spans="20:21" hidden="1" x14ac:dyDescent="0.2">
      <c r="T340" t="str">
        <f t="shared" si="7"/>
        <v>82HV1</v>
      </c>
      <c r="U340" t="s">
        <v>23</v>
      </c>
    </row>
    <row r="341" spans="20:21" hidden="1" x14ac:dyDescent="0.2">
      <c r="T341" t="str">
        <f t="shared" si="7"/>
        <v>83HV1</v>
      </c>
      <c r="U341" t="s">
        <v>24</v>
      </c>
    </row>
    <row r="342" spans="20:21" hidden="1" x14ac:dyDescent="0.2">
      <c r="T342" t="str">
        <f t="shared" si="7"/>
        <v>84HV1</v>
      </c>
      <c r="U342" t="s">
        <v>24</v>
      </c>
    </row>
  </sheetData>
  <mergeCells count="14">
    <mergeCell ref="F53:G53"/>
    <mergeCell ref="C5:E5"/>
    <mergeCell ref="H5:J5"/>
    <mergeCell ref="C49:J49"/>
    <mergeCell ref="C50:J50"/>
    <mergeCell ref="C51:J51"/>
    <mergeCell ref="C52:J52"/>
    <mergeCell ref="C2:E2"/>
    <mergeCell ref="F2:G2"/>
    <mergeCell ref="H2:I2"/>
    <mergeCell ref="C3:E3"/>
    <mergeCell ref="H3:J3"/>
    <mergeCell ref="C4:E4"/>
    <mergeCell ref="H4:J4"/>
  </mergeCells>
  <conditionalFormatting sqref="C2:E2">
    <cfRule type="cellIs" dxfId="9" priority="2" operator="equal">
      <formula>0</formula>
    </cfRule>
  </conditionalFormatting>
  <conditionalFormatting sqref="C2:J5">
    <cfRule type="cellIs" dxfId="8" priority="1" operator="equal">
      <formula>0</formula>
    </cfRule>
  </conditionalFormatting>
  <conditionalFormatting sqref="D7:D48 I7:I48">
    <cfRule type="containsText" dxfId="7" priority="5" operator="containsText" text="Y">
      <formula>NOT(ISERROR(SEARCH("Y",D7)))</formula>
    </cfRule>
    <cfRule type="containsText" dxfId="6" priority="6" operator="containsText" text="O">
      <formula>NOT(ISERROR(SEARCH("O",D7)))</formula>
    </cfRule>
    <cfRule type="containsText" dxfId="5" priority="7" operator="containsText" text="BR">
      <formula>NOT(ISERROR(SEARCH("BR",D7)))</formula>
    </cfRule>
    <cfRule type="containsText" dxfId="4" priority="8" operator="containsText" text="U">
      <formula>NOT(ISERROR(SEARCH("U",D7)))</formula>
    </cfRule>
    <cfRule type="containsText" dxfId="3" priority="9" operator="containsText" text="R">
      <formula>NOT(ISERROR(SEARCH("R",D7)))</formula>
    </cfRule>
    <cfRule type="containsText" dxfId="2" priority="10" operator="containsText" text="BK">
      <formula>NOT(ISERROR(SEARCH("BK",D7)))</formula>
    </cfRule>
  </conditionalFormatting>
  <conditionalFormatting sqref="F7:G48">
    <cfRule type="containsBlanks" dxfId="1" priority="4">
      <formula>LEN(TRIM(F7))=0</formula>
    </cfRule>
  </conditionalFormatting>
  <conditionalFormatting sqref="F53:G53">
    <cfRule type="cellIs" dxfId="0" priority="3" operator="equal">
      <formula>0</formula>
    </cfRule>
  </conditionalFormatting>
  <dataValidations count="1">
    <dataValidation type="whole" allowBlank="1" showInputMessage="1" showErrorMessage="1" errorTitle="Enter a number between 1-84" error="          " promptTitle="Enter a number between 1-84" prompt="               " sqref="M6" xr:uid="{DDCC5F28-3166-564D-A5E0-64BFE8755BEB}">
      <formula1>1</formula1>
      <formula2>84</formula2>
    </dataValidation>
  </dataValidations>
  <pageMargins left="0.7" right="0.7" top="0.75" bottom="0.75" header="0.3" footer="0.3"/>
  <pageSetup scale="8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Temp1</vt:lpstr>
      <vt:lpstr>Temp1 (2)</vt:lpstr>
      <vt:lpstr>Temp1 (3)</vt:lpstr>
      <vt:lpstr>Temp1 (4)</vt:lpstr>
      <vt:lpstr>Temp1 (5)</vt:lpstr>
      <vt:lpstr>Temp1 (6)</vt:lpstr>
      <vt:lpstr>Temp1 (7)</vt:lpstr>
      <vt:lpstr>Temp1 (8)</vt:lpstr>
      <vt:lpstr>Temp1 (9)</vt:lpstr>
      <vt:lpstr>Temp1 (10)</vt:lpstr>
      <vt:lpstr>Temp1 (11)</vt:lpstr>
      <vt:lpstr>Temp1 (12)</vt:lpstr>
      <vt:lpstr>Temp1 (13)</vt:lpstr>
      <vt:lpstr>Temp1 (14)</vt:lpstr>
      <vt:lpstr>Temp1 (15)</vt:lpstr>
      <vt:lpstr>Temp1 (16)</vt:lpstr>
      <vt:lpstr>Temp1!Print_Area</vt:lpstr>
      <vt:lpstr>'Temp1 (10)'!Print_Area</vt:lpstr>
      <vt:lpstr>'Temp1 (11)'!Print_Area</vt:lpstr>
      <vt:lpstr>'Temp1 (12)'!Print_Area</vt:lpstr>
      <vt:lpstr>'Temp1 (13)'!Print_Area</vt:lpstr>
      <vt:lpstr>'Temp1 (14)'!Print_Area</vt:lpstr>
      <vt:lpstr>'Temp1 (15)'!Print_Area</vt:lpstr>
      <vt:lpstr>'Temp1 (16)'!Print_Area</vt:lpstr>
      <vt:lpstr>'Temp1 (2)'!Print_Area</vt:lpstr>
      <vt:lpstr>'Temp1 (3)'!Print_Area</vt:lpstr>
      <vt:lpstr>'Temp1 (4)'!Print_Area</vt:lpstr>
      <vt:lpstr>'Temp1 (5)'!Print_Area</vt:lpstr>
      <vt:lpstr>'Temp1 (6)'!Print_Area</vt:lpstr>
      <vt:lpstr>'Temp1 (7)'!Print_Area</vt:lpstr>
      <vt:lpstr>'Temp1 (8)'!Print_Area</vt:lpstr>
      <vt:lpstr>'Temp1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Riendeau</dc:creator>
  <cp:lastModifiedBy>Kenneth Riendeau</cp:lastModifiedBy>
  <dcterms:created xsi:type="dcterms:W3CDTF">2025-12-07T12:42:13Z</dcterms:created>
  <dcterms:modified xsi:type="dcterms:W3CDTF">2025-12-09T16:50:36Z</dcterms:modified>
</cp:coreProperties>
</file>